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codeworks\coolest-capstone-ever\server\ingredient-data\"/>
    </mc:Choice>
  </mc:AlternateContent>
  <xr:revisionPtr revIDLastSave="0" documentId="13_ncr:1_{604790B6-DD6D-42C9-AEEC-CD129322D202}" xr6:coauthVersionLast="44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IngredientMain" sheetId="24" r:id="rId1"/>
    <sheet name="RecipeMain" sheetId="23" r:id="rId2"/>
    <sheet name="Avocado &amp; Corn" sheetId="18" r:id="rId3"/>
    <sheet name="Spanish Bocadillo" sheetId="17" r:id="rId4"/>
    <sheet name="Smokehouse Chicken" sheetId="16" r:id="rId5"/>
    <sheet name="Italian Turkey" sheetId="15" r:id="rId6"/>
    <sheet name="Roast beef sandwich" sheetId="21" r:id="rId7"/>
    <sheet name="Recipe Cost Builder" sheetId="2" r:id="rId8"/>
    <sheet name="Bakery - 50041" sheetId="5" r:id="rId9"/>
    <sheet name="Dairy - 50031" sheetId="7" r:id="rId10"/>
    <sheet name="Frozen - 50061" sheetId="4" r:id="rId11"/>
    <sheet name="Sheet1" sheetId="22" r:id="rId12"/>
    <sheet name="Meat - 50021" sheetId="8" r:id="rId13"/>
    <sheet name="Produce - 50051" sheetId="6" r:id="rId14"/>
    <sheet name="Storeroom - 50011" sheetId="3" r:id="rId15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5" i="18" l="1"/>
  <c r="E7" i="18"/>
  <c r="H124" i="18"/>
  <c r="H33" i="18"/>
  <c r="H35" i="17"/>
  <c r="H30" i="17"/>
  <c r="H18" i="17"/>
  <c r="H17" i="17"/>
  <c r="H83" i="16"/>
  <c r="H126" i="16"/>
  <c r="H37" i="16"/>
  <c r="H35" i="16"/>
  <c r="H124" i="16"/>
  <c r="H35" i="21"/>
  <c r="H84" i="15"/>
  <c r="H82" i="15"/>
  <c r="H36" i="15"/>
  <c r="H38" i="15"/>
  <c r="H114" i="18" l="1"/>
  <c r="H115" i="18"/>
  <c r="H113" i="18"/>
  <c r="H122" i="18"/>
  <c r="H98" i="18"/>
  <c r="H97" i="18"/>
  <c r="H55" i="18"/>
  <c r="H56" i="18"/>
  <c r="H57" i="18"/>
  <c r="H58" i="18"/>
  <c r="H59" i="18"/>
  <c r="H54" i="18"/>
  <c r="H26" i="18"/>
  <c r="L49" i="6"/>
  <c r="G71" i="17"/>
  <c r="H71" i="17"/>
  <c r="G72" i="17"/>
  <c r="H72" i="17"/>
  <c r="G73" i="17"/>
  <c r="H73" i="17"/>
  <c r="G70" i="17"/>
  <c r="H70" i="17"/>
  <c r="H55" i="17"/>
  <c r="H56" i="17"/>
  <c r="H57" i="17"/>
  <c r="H54" i="17"/>
  <c r="H17" i="16"/>
  <c r="G71" i="16"/>
  <c r="H71" i="16"/>
  <c r="G72" i="16"/>
  <c r="H72" i="16"/>
  <c r="G70" i="16"/>
  <c r="H70" i="16"/>
  <c r="H55" i="16"/>
  <c r="H56" i="16"/>
  <c r="H57" i="16"/>
  <c r="H54" i="16"/>
  <c r="G114" i="16"/>
  <c r="H114" i="16"/>
  <c r="G115" i="16"/>
  <c r="H115" i="16"/>
  <c r="G113" i="16"/>
  <c r="H113" i="16"/>
  <c r="H98" i="16"/>
  <c r="H99" i="16"/>
  <c r="H100" i="16"/>
  <c r="H97" i="16"/>
  <c r="G26" i="16"/>
  <c r="H26" i="16"/>
  <c r="G70" i="21"/>
  <c r="H70" i="21"/>
  <c r="H54" i="21"/>
  <c r="H17" i="21"/>
  <c r="G113" i="21"/>
  <c r="H113" i="21"/>
  <c r="H98" i="21"/>
  <c r="H99" i="21"/>
  <c r="H100" i="21"/>
  <c r="H97" i="21"/>
  <c r="H30" i="21"/>
  <c r="G123" i="21"/>
  <c r="G122" i="21"/>
  <c r="H121" i="21"/>
  <c r="G120" i="21"/>
  <c r="G119" i="21"/>
  <c r="H118" i="21"/>
  <c r="G117" i="21"/>
  <c r="G116" i="21"/>
  <c r="G115" i="21"/>
  <c r="G114" i="21"/>
  <c r="H112" i="21"/>
  <c r="G111" i="21"/>
  <c r="G110" i="21"/>
  <c r="H109" i="21"/>
  <c r="G108" i="21"/>
  <c r="G107" i="21"/>
  <c r="G106" i="21"/>
  <c r="H105" i="21"/>
  <c r="G104" i="21"/>
  <c r="G103" i="21"/>
  <c r="G102" i="21"/>
  <c r="G101" i="21"/>
  <c r="G100" i="21"/>
  <c r="G99" i="21"/>
  <c r="G98" i="21"/>
  <c r="G97" i="21"/>
  <c r="H96" i="21"/>
  <c r="G80" i="21"/>
  <c r="G79" i="21"/>
  <c r="H78" i="21"/>
  <c r="G77" i="21"/>
  <c r="G76" i="21"/>
  <c r="H75" i="21"/>
  <c r="G74" i="21"/>
  <c r="G73" i="21"/>
  <c r="G72" i="21"/>
  <c r="G71" i="21"/>
  <c r="H69" i="21"/>
  <c r="G68" i="21"/>
  <c r="G67" i="21"/>
  <c r="H66" i="21"/>
  <c r="G65" i="21"/>
  <c r="G64" i="21"/>
  <c r="G63" i="21"/>
  <c r="H62" i="21"/>
  <c r="G61" i="21"/>
  <c r="G60" i="21"/>
  <c r="G59" i="21"/>
  <c r="G58" i="21"/>
  <c r="G57" i="21"/>
  <c r="G56" i="21"/>
  <c r="G55" i="21"/>
  <c r="G54" i="21"/>
  <c r="H53" i="21"/>
  <c r="A40" i="21"/>
  <c r="A39" i="21"/>
  <c r="A38" i="21"/>
  <c r="A37" i="21"/>
  <c r="A36" i="21"/>
  <c r="A35" i="21"/>
  <c r="G34" i="21"/>
  <c r="G33" i="21"/>
  <c r="H32" i="21"/>
  <c r="G31" i="21"/>
  <c r="G30" i="21"/>
  <c r="H29" i="21"/>
  <c r="G28" i="21"/>
  <c r="G27" i="21"/>
  <c r="G26" i="21"/>
  <c r="G25" i="21"/>
  <c r="H25" i="21"/>
  <c r="G24" i="21"/>
  <c r="H24" i="21"/>
  <c r="H23" i="21"/>
  <c r="G22" i="21"/>
  <c r="G21" i="21"/>
  <c r="H21" i="21"/>
  <c r="H20" i="21"/>
  <c r="G19" i="21"/>
  <c r="G18" i="21"/>
  <c r="G17" i="21"/>
  <c r="H16" i="21"/>
  <c r="G15" i="21"/>
  <c r="G14" i="21"/>
  <c r="G13" i="21"/>
  <c r="G12" i="21"/>
  <c r="G11" i="21"/>
  <c r="G10" i="21"/>
  <c r="G9" i="21"/>
  <c r="G8" i="21"/>
  <c r="H7" i="21"/>
  <c r="H77" i="15"/>
  <c r="H68" i="15"/>
  <c r="H65" i="15"/>
  <c r="H64" i="15"/>
  <c r="H55" i="15"/>
  <c r="G26" i="15"/>
  <c r="H26" i="15"/>
  <c r="G27" i="15"/>
  <c r="H27" i="15"/>
  <c r="G28" i="15"/>
  <c r="H28" i="15"/>
  <c r="G29" i="15"/>
  <c r="H29" i="15"/>
  <c r="H81" i="21"/>
  <c r="H124" i="21"/>
  <c r="H126" i="21"/>
  <c r="H127" i="21"/>
  <c r="H128" i="21"/>
  <c r="E121" i="21"/>
  <c r="E118" i="21"/>
  <c r="E112" i="21"/>
  <c r="E109" i="21"/>
  <c r="E105" i="21"/>
  <c r="E96" i="21"/>
  <c r="H83" i="21"/>
  <c r="H84" i="21"/>
  <c r="H85" i="21"/>
  <c r="E78" i="21"/>
  <c r="E75" i="21"/>
  <c r="E69" i="21"/>
  <c r="E66" i="21"/>
  <c r="E62" i="21"/>
  <c r="E53" i="21"/>
  <c r="H37" i="21"/>
  <c r="H38" i="21"/>
  <c r="E32" i="21"/>
  <c r="B40" i="21"/>
  <c r="E29" i="21"/>
  <c r="B39" i="21"/>
  <c r="E23" i="21"/>
  <c r="B38" i="21"/>
  <c r="E20" i="21"/>
  <c r="B37" i="21"/>
  <c r="E16" i="21"/>
  <c r="B36" i="21"/>
  <c r="E7" i="21"/>
  <c r="B35" i="21"/>
  <c r="B41" i="21"/>
  <c r="H40" i="21"/>
  <c r="H39" i="21"/>
  <c r="G123" i="18"/>
  <c r="G122" i="18"/>
  <c r="H121" i="18"/>
  <c r="H118" i="18"/>
  <c r="G120" i="18"/>
  <c r="G119" i="18"/>
  <c r="G117" i="18"/>
  <c r="G116" i="18"/>
  <c r="G115" i="18"/>
  <c r="G114" i="18"/>
  <c r="G113" i="18"/>
  <c r="H112" i="18"/>
  <c r="G111" i="18"/>
  <c r="G110" i="18"/>
  <c r="H109" i="18"/>
  <c r="G108" i="18"/>
  <c r="G107" i="18"/>
  <c r="G106" i="18"/>
  <c r="H105" i="18"/>
  <c r="G104" i="18"/>
  <c r="G103" i="18"/>
  <c r="G102" i="18"/>
  <c r="G101" i="18"/>
  <c r="G100" i="18"/>
  <c r="G99" i="18"/>
  <c r="G98" i="18"/>
  <c r="G97" i="18"/>
  <c r="H96" i="18"/>
  <c r="G80" i="18"/>
  <c r="G79" i="18"/>
  <c r="H78" i="18"/>
  <c r="H75" i="18"/>
  <c r="G77" i="18"/>
  <c r="G76" i="18"/>
  <c r="G74" i="18"/>
  <c r="G73" i="18"/>
  <c r="G72" i="18"/>
  <c r="G71" i="18"/>
  <c r="G70" i="18"/>
  <c r="H69" i="18"/>
  <c r="G68" i="18"/>
  <c r="G67" i="18"/>
  <c r="H66" i="18"/>
  <c r="G65" i="18"/>
  <c r="G64" i="18"/>
  <c r="G63" i="18"/>
  <c r="H62" i="18"/>
  <c r="G61" i="18"/>
  <c r="G60" i="18"/>
  <c r="G59" i="18"/>
  <c r="G58" i="18"/>
  <c r="G57" i="18"/>
  <c r="G56" i="18"/>
  <c r="G55" i="18"/>
  <c r="G54" i="18"/>
  <c r="H53" i="18"/>
  <c r="A40" i="18"/>
  <c r="A39" i="18"/>
  <c r="A38" i="18"/>
  <c r="A37" i="18"/>
  <c r="A36" i="18"/>
  <c r="A35" i="18"/>
  <c r="G34" i="18"/>
  <c r="G33" i="18"/>
  <c r="H32" i="18"/>
  <c r="G31" i="18"/>
  <c r="G30" i="18"/>
  <c r="G28" i="18"/>
  <c r="G27" i="18"/>
  <c r="G26" i="18"/>
  <c r="G25" i="18"/>
  <c r="H25" i="18"/>
  <c r="G24" i="18"/>
  <c r="H24" i="18"/>
  <c r="H23" i="18"/>
  <c r="G22" i="18"/>
  <c r="G21" i="18"/>
  <c r="H21" i="18"/>
  <c r="H20" i="18"/>
  <c r="G19" i="18"/>
  <c r="G18" i="18"/>
  <c r="G17" i="18"/>
  <c r="H16" i="18"/>
  <c r="G15" i="18"/>
  <c r="G14" i="18"/>
  <c r="G13" i="18"/>
  <c r="G12" i="18"/>
  <c r="G11" i="18"/>
  <c r="G10" i="18"/>
  <c r="G9" i="18"/>
  <c r="G8" i="18"/>
  <c r="H7" i="18"/>
  <c r="G123" i="17"/>
  <c r="G122" i="17"/>
  <c r="H121" i="17"/>
  <c r="H118" i="17"/>
  <c r="G120" i="17"/>
  <c r="G119" i="17"/>
  <c r="G117" i="17"/>
  <c r="G116" i="17"/>
  <c r="G115" i="17"/>
  <c r="G114" i="17"/>
  <c r="G113" i="17"/>
  <c r="H112" i="17"/>
  <c r="G111" i="17"/>
  <c r="G110" i="17"/>
  <c r="H109" i="17"/>
  <c r="G108" i="17"/>
  <c r="G107" i="17"/>
  <c r="G106" i="17"/>
  <c r="H105" i="17"/>
  <c r="G104" i="17"/>
  <c r="G103" i="17"/>
  <c r="G102" i="17"/>
  <c r="G101" i="17"/>
  <c r="G100" i="17"/>
  <c r="G99" i="17"/>
  <c r="G98" i="17"/>
  <c r="G97" i="17"/>
  <c r="H96" i="17"/>
  <c r="G80" i="17"/>
  <c r="G79" i="17"/>
  <c r="H78" i="17"/>
  <c r="H75" i="17"/>
  <c r="G77" i="17"/>
  <c r="G76" i="17"/>
  <c r="G74" i="17"/>
  <c r="H69" i="17"/>
  <c r="G68" i="17"/>
  <c r="G67" i="17"/>
  <c r="H66" i="17"/>
  <c r="G65" i="17"/>
  <c r="G64" i="17"/>
  <c r="G63" i="17"/>
  <c r="H62" i="17"/>
  <c r="G61" i="17"/>
  <c r="G60" i="17"/>
  <c r="G59" i="17"/>
  <c r="G58" i="17"/>
  <c r="G57" i="17"/>
  <c r="G56" i="17"/>
  <c r="G55" i="17"/>
  <c r="G54" i="17"/>
  <c r="H53" i="17"/>
  <c r="A40" i="17"/>
  <c r="A39" i="17"/>
  <c r="A38" i="17"/>
  <c r="A37" i="17"/>
  <c r="A36" i="17"/>
  <c r="A35" i="17"/>
  <c r="G34" i="17"/>
  <c r="G33" i="17"/>
  <c r="H32" i="17"/>
  <c r="G31" i="17"/>
  <c r="G30" i="17"/>
  <c r="G28" i="17"/>
  <c r="G27" i="17"/>
  <c r="G26" i="17"/>
  <c r="G25" i="17"/>
  <c r="G24" i="17"/>
  <c r="H24" i="17"/>
  <c r="H23" i="17"/>
  <c r="G22" i="17"/>
  <c r="H22" i="17"/>
  <c r="G21" i="17"/>
  <c r="H21" i="17"/>
  <c r="H20" i="17"/>
  <c r="G19" i="17"/>
  <c r="G18" i="17"/>
  <c r="G17" i="17"/>
  <c r="H16" i="17"/>
  <c r="G15" i="17"/>
  <c r="G14" i="17"/>
  <c r="G13" i="17"/>
  <c r="G12" i="17"/>
  <c r="G11" i="17"/>
  <c r="G10" i="17"/>
  <c r="G9" i="17"/>
  <c r="G8" i="17"/>
  <c r="H7" i="17"/>
  <c r="G123" i="16"/>
  <c r="G122" i="16"/>
  <c r="H121" i="16"/>
  <c r="G120" i="16"/>
  <c r="G119" i="16"/>
  <c r="H118" i="16"/>
  <c r="G117" i="16"/>
  <c r="G116" i="16"/>
  <c r="H112" i="16"/>
  <c r="G111" i="16"/>
  <c r="G110" i="16"/>
  <c r="H109" i="16"/>
  <c r="G108" i="16"/>
  <c r="G107" i="16"/>
  <c r="G106" i="16"/>
  <c r="H105" i="16"/>
  <c r="G104" i="16"/>
  <c r="G103" i="16"/>
  <c r="G102" i="16"/>
  <c r="G101" i="16"/>
  <c r="G100" i="16"/>
  <c r="G99" i="16"/>
  <c r="G98" i="16"/>
  <c r="G97" i="16"/>
  <c r="H96" i="16"/>
  <c r="G80" i="16"/>
  <c r="G79" i="16"/>
  <c r="H78" i="16"/>
  <c r="H75" i="16"/>
  <c r="G77" i="16"/>
  <c r="G76" i="16"/>
  <c r="G74" i="16"/>
  <c r="G73" i="16"/>
  <c r="H69" i="16"/>
  <c r="G68" i="16"/>
  <c r="G67" i="16"/>
  <c r="H66" i="16"/>
  <c r="G65" i="16"/>
  <c r="G64" i="16"/>
  <c r="G63" i="16"/>
  <c r="H62" i="16"/>
  <c r="G61" i="16"/>
  <c r="G60" i="16"/>
  <c r="G59" i="16"/>
  <c r="G58" i="16"/>
  <c r="G57" i="16"/>
  <c r="G56" i="16"/>
  <c r="G55" i="16"/>
  <c r="G54" i="16"/>
  <c r="H53" i="16"/>
  <c r="A40" i="16"/>
  <c r="A39" i="16"/>
  <c r="A38" i="16"/>
  <c r="A37" i="16"/>
  <c r="A36" i="16"/>
  <c r="A35" i="16"/>
  <c r="G34" i="16"/>
  <c r="G33" i="16"/>
  <c r="H32" i="16"/>
  <c r="G31" i="16"/>
  <c r="G30" i="16"/>
  <c r="G28" i="16"/>
  <c r="G27" i="16"/>
  <c r="G25" i="16"/>
  <c r="H25" i="16"/>
  <c r="G24" i="16"/>
  <c r="H23" i="16"/>
  <c r="G22" i="16"/>
  <c r="G21" i="16"/>
  <c r="H21" i="16"/>
  <c r="H20" i="16"/>
  <c r="G19" i="16"/>
  <c r="G18" i="16"/>
  <c r="G17" i="16"/>
  <c r="H16" i="16"/>
  <c r="G15" i="16"/>
  <c r="G14" i="16"/>
  <c r="G13" i="16"/>
  <c r="G12" i="16"/>
  <c r="G11" i="16"/>
  <c r="G10" i="16"/>
  <c r="G9" i="16"/>
  <c r="G8" i="16"/>
  <c r="H7" i="16"/>
  <c r="G124" i="15"/>
  <c r="G123" i="15"/>
  <c r="H122" i="15"/>
  <c r="G121" i="15"/>
  <c r="G120" i="15"/>
  <c r="H119" i="15"/>
  <c r="G118" i="15"/>
  <c r="G117" i="15"/>
  <c r="G116" i="15"/>
  <c r="G115" i="15"/>
  <c r="G114" i="15"/>
  <c r="H113" i="15"/>
  <c r="G112" i="15"/>
  <c r="G111" i="15"/>
  <c r="H110" i="15"/>
  <c r="G109" i="15"/>
  <c r="G108" i="15"/>
  <c r="G107" i="15"/>
  <c r="H106" i="15"/>
  <c r="G105" i="15"/>
  <c r="G104" i="15"/>
  <c r="G103" i="15"/>
  <c r="G102" i="15"/>
  <c r="G101" i="15"/>
  <c r="G100" i="15"/>
  <c r="G99" i="15"/>
  <c r="G98" i="15"/>
  <c r="H97" i="15"/>
  <c r="G81" i="15"/>
  <c r="G80" i="15"/>
  <c r="H79" i="15"/>
  <c r="G78" i="15"/>
  <c r="G77" i="15"/>
  <c r="H76" i="15"/>
  <c r="G75" i="15"/>
  <c r="G74" i="15"/>
  <c r="G73" i="15"/>
  <c r="G72" i="15"/>
  <c r="G71" i="15"/>
  <c r="H70" i="15"/>
  <c r="G69" i="15"/>
  <c r="G68" i="15"/>
  <c r="H67" i="15"/>
  <c r="G66" i="15"/>
  <c r="G65" i="15"/>
  <c r="G64" i="15"/>
  <c r="H63" i="15"/>
  <c r="G62" i="15"/>
  <c r="G61" i="15"/>
  <c r="G60" i="15"/>
  <c r="G59" i="15"/>
  <c r="G58" i="15"/>
  <c r="G57" i="15"/>
  <c r="G56" i="15"/>
  <c r="G55" i="15"/>
  <c r="H54" i="15"/>
  <c r="A41" i="15"/>
  <c r="A40" i="15"/>
  <c r="A39" i="15"/>
  <c r="A38" i="15"/>
  <c r="A37" i="15"/>
  <c r="A36" i="15"/>
  <c r="G35" i="15"/>
  <c r="G34" i="15"/>
  <c r="H33" i="15"/>
  <c r="G32" i="15"/>
  <c r="G31" i="15"/>
  <c r="G25" i="15"/>
  <c r="H25" i="15"/>
  <c r="G24" i="15"/>
  <c r="H24" i="15"/>
  <c r="H23" i="15"/>
  <c r="G22" i="15"/>
  <c r="G21" i="15"/>
  <c r="H20" i="15"/>
  <c r="G19" i="15"/>
  <c r="G18" i="15"/>
  <c r="G17" i="15"/>
  <c r="H16" i="15"/>
  <c r="G15" i="15"/>
  <c r="G14" i="15"/>
  <c r="G13" i="15"/>
  <c r="H13" i="15"/>
  <c r="G12" i="15"/>
  <c r="H12" i="15"/>
  <c r="G11" i="15"/>
  <c r="H11" i="15"/>
  <c r="G10" i="15"/>
  <c r="H10" i="15"/>
  <c r="G9" i="15"/>
  <c r="H9" i="15"/>
  <c r="G8" i="15"/>
  <c r="H8" i="15"/>
  <c r="H7" i="15"/>
  <c r="G123" i="2"/>
  <c r="G122" i="2"/>
  <c r="G120" i="2"/>
  <c r="G119" i="2"/>
  <c r="G114" i="2"/>
  <c r="G115" i="2"/>
  <c r="G116" i="2"/>
  <c r="G117" i="2"/>
  <c r="G113" i="2"/>
  <c r="G111" i="2"/>
  <c r="G110" i="2"/>
  <c r="G107" i="2"/>
  <c r="G108" i="2"/>
  <c r="G106" i="2"/>
  <c r="G98" i="2"/>
  <c r="G99" i="2"/>
  <c r="G100" i="2"/>
  <c r="G101" i="2"/>
  <c r="G102" i="2"/>
  <c r="G103" i="2"/>
  <c r="G104" i="2"/>
  <c r="G97" i="2"/>
  <c r="G80" i="2"/>
  <c r="G79" i="2"/>
  <c r="G77" i="2"/>
  <c r="G76" i="2"/>
  <c r="G71" i="2"/>
  <c r="G72" i="2"/>
  <c r="G73" i="2"/>
  <c r="G74" i="2"/>
  <c r="G70" i="2"/>
  <c r="G68" i="2"/>
  <c r="G67" i="2"/>
  <c r="G64" i="2"/>
  <c r="G65" i="2"/>
  <c r="G63" i="2"/>
  <c r="G55" i="2"/>
  <c r="G56" i="2"/>
  <c r="G57" i="2"/>
  <c r="G58" i="2"/>
  <c r="G59" i="2"/>
  <c r="G60" i="2"/>
  <c r="G61" i="2"/>
  <c r="G54" i="2"/>
  <c r="G34" i="2"/>
  <c r="G33" i="2"/>
  <c r="G31" i="2"/>
  <c r="G30" i="2"/>
  <c r="G25" i="2"/>
  <c r="G26" i="2"/>
  <c r="G27" i="2"/>
  <c r="G28" i="2"/>
  <c r="G24" i="2"/>
  <c r="G22" i="2"/>
  <c r="G21" i="2"/>
  <c r="G18" i="2"/>
  <c r="G19" i="2"/>
  <c r="G17" i="2"/>
  <c r="G9" i="2"/>
  <c r="G10" i="2"/>
  <c r="G11" i="2"/>
  <c r="G12" i="2"/>
  <c r="G13" i="2"/>
  <c r="G14" i="2"/>
  <c r="G15" i="2"/>
  <c r="G8" i="2"/>
  <c r="H294" i="3"/>
  <c r="L105" i="8"/>
  <c r="L104" i="8"/>
  <c r="L98" i="8"/>
  <c r="L99" i="8"/>
  <c r="L100" i="8"/>
  <c r="L101" i="8"/>
  <c r="L102" i="8"/>
  <c r="L103" i="8"/>
  <c r="J308" i="3"/>
  <c r="J309" i="3"/>
  <c r="J307" i="3"/>
  <c r="J303" i="3"/>
  <c r="J304" i="3"/>
  <c r="J305" i="3"/>
  <c r="J306" i="3"/>
  <c r="J300" i="3"/>
  <c r="J301" i="3"/>
  <c r="J302" i="3"/>
  <c r="J299" i="3"/>
  <c r="J298" i="3"/>
  <c r="L97" i="8"/>
  <c r="J292" i="3"/>
  <c r="J293" i="3"/>
  <c r="J294" i="3"/>
  <c r="H295" i="3"/>
  <c r="J295" i="3"/>
  <c r="J296" i="3"/>
  <c r="H297" i="3"/>
  <c r="J297" i="3"/>
  <c r="J116" i="4"/>
  <c r="J117" i="4"/>
  <c r="J118" i="4"/>
  <c r="J115" i="4"/>
  <c r="J112" i="4"/>
  <c r="J113" i="4"/>
  <c r="J114" i="4"/>
  <c r="J111" i="4"/>
  <c r="J110" i="4"/>
  <c r="J102" i="4"/>
  <c r="J103" i="4"/>
  <c r="J104" i="4"/>
  <c r="J105" i="4"/>
  <c r="J106" i="4"/>
  <c r="J107" i="4"/>
  <c r="J108" i="4"/>
  <c r="J109" i="4"/>
  <c r="J153" i="3"/>
  <c r="J6" i="3"/>
  <c r="J5" i="3"/>
  <c r="H125" i="15"/>
  <c r="H81" i="18"/>
  <c r="E69" i="18"/>
  <c r="E118" i="18"/>
  <c r="H29" i="18"/>
  <c r="E29" i="18" s="1"/>
  <c r="B39" i="18" s="1"/>
  <c r="H29" i="17"/>
  <c r="H124" i="17"/>
  <c r="E112" i="17"/>
  <c r="H81" i="17"/>
  <c r="E121" i="16"/>
  <c r="H127" i="16"/>
  <c r="H128" i="16" s="1"/>
  <c r="E112" i="16"/>
  <c r="E96" i="16"/>
  <c r="H29" i="16"/>
  <c r="H81" i="16"/>
  <c r="E66" i="16"/>
  <c r="H127" i="15"/>
  <c r="H128" i="15"/>
  <c r="H129" i="15"/>
  <c r="E97" i="15"/>
  <c r="E122" i="15"/>
  <c r="H30" i="15"/>
  <c r="H56" i="6"/>
  <c r="J56" i="6"/>
  <c r="H55" i="6"/>
  <c r="J55" i="6"/>
  <c r="L55" i="6"/>
  <c r="E54" i="15"/>
  <c r="E67" i="15"/>
  <c r="E105" i="16"/>
  <c r="E109" i="16"/>
  <c r="E118" i="16"/>
  <c r="E106" i="15"/>
  <c r="E110" i="15"/>
  <c r="E113" i="15"/>
  <c r="E119" i="15"/>
  <c r="H83" i="18"/>
  <c r="H84" i="18"/>
  <c r="H85" i="18"/>
  <c r="E78" i="18"/>
  <c r="E62" i="18"/>
  <c r="E53" i="18"/>
  <c r="E96" i="18"/>
  <c r="H126" i="18"/>
  <c r="H127" i="18"/>
  <c r="H128" i="18"/>
  <c r="E105" i="18"/>
  <c r="E121" i="18"/>
  <c r="E109" i="18"/>
  <c r="E75" i="18"/>
  <c r="H37" i="18"/>
  <c r="H38" i="18" s="1"/>
  <c r="E112" i="18"/>
  <c r="E66" i="18"/>
  <c r="H126" i="17"/>
  <c r="H127" i="17"/>
  <c r="H128" i="17"/>
  <c r="E105" i="17"/>
  <c r="E121" i="17"/>
  <c r="E109" i="17"/>
  <c r="H83" i="17"/>
  <c r="H84" i="17"/>
  <c r="H85" i="17"/>
  <c r="E62" i="17"/>
  <c r="E53" i="17"/>
  <c r="E96" i="17"/>
  <c r="E75" i="17"/>
  <c r="E66" i="17"/>
  <c r="E69" i="17"/>
  <c r="E78" i="17"/>
  <c r="E118" i="17"/>
  <c r="E69" i="16"/>
  <c r="E75" i="16"/>
  <c r="E29" i="16"/>
  <c r="B39" i="16" s="1"/>
  <c r="H84" i="16"/>
  <c r="H85" i="16"/>
  <c r="E62" i="16"/>
  <c r="E78" i="16"/>
  <c r="E53" i="16"/>
  <c r="H85" i="15"/>
  <c r="H86" i="15" s="1"/>
  <c r="E76" i="15"/>
  <c r="E63" i="15"/>
  <c r="E79" i="15"/>
  <c r="E30" i="15"/>
  <c r="B40" i="15" s="1"/>
  <c r="B42" i="15" s="1"/>
  <c r="E70" i="15"/>
  <c r="H24" i="2"/>
  <c r="H22" i="2"/>
  <c r="H21" i="2"/>
  <c r="H13" i="2"/>
  <c r="H14" i="2"/>
  <c r="E33" i="15"/>
  <c r="B41" i="15" s="1"/>
  <c r="H39" i="15"/>
  <c r="H40" i="15" s="1"/>
  <c r="E23" i="15"/>
  <c r="B39" i="15"/>
  <c r="E7" i="15"/>
  <c r="B36" i="15"/>
  <c r="E16" i="15"/>
  <c r="B37" i="15"/>
  <c r="E20" i="15"/>
  <c r="B38" i="15"/>
  <c r="H8" i="2"/>
  <c r="H121" i="2"/>
  <c r="H118" i="2"/>
  <c r="H105" i="2"/>
  <c r="H78" i="2"/>
  <c r="H75" i="2"/>
  <c r="H62" i="2"/>
  <c r="H66" i="2"/>
  <c r="H109" i="2"/>
  <c r="H112" i="2"/>
  <c r="H69" i="2"/>
  <c r="H53" i="2"/>
  <c r="H96" i="2"/>
  <c r="H96" i="8"/>
  <c r="L96" i="8"/>
  <c r="H95" i="8"/>
  <c r="J95" i="8"/>
  <c r="L95" i="8"/>
  <c r="J94" i="8"/>
  <c r="L94" i="8"/>
  <c r="H93" i="8"/>
  <c r="L93" i="8"/>
  <c r="J92" i="8"/>
  <c r="L92" i="8"/>
  <c r="J91" i="8"/>
  <c r="L91" i="8"/>
  <c r="J90" i="8"/>
  <c r="L90" i="8"/>
  <c r="H89" i="8"/>
  <c r="L89" i="8"/>
  <c r="J88" i="8"/>
  <c r="L88" i="8"/>
  <c r="H87" i="8"/>
  <c r="J87" i="8"/>
  <c r="L87" i="8"/>
  <c r="H86" i="8"/>
  <c r="J86" i="8"/>
  <c r="L86" i="8"/>
  <c r="H85" i="8"/>
  <c r="J85" i="8"/>
  <c r="L85" i="8"/>
  <c r="H84" i="8"/>
  <c r="J84" i="8"/>
  <c r="L84" i="8"/>
  <c r="H83" i="8"/>
  <c r="J83" i="8"/>
  <c r="L83" i="8"/>
  <c r="H82" i="8"/>
  <c r="L82" i="8"/>
  <c r="L81" i="8"/>
  <c r="J81" i="8"/>
  <c r="H80" i="8"/>
  <c r="L80" i="8"/>
  <c r="J79" i="8"/>
  <c r="L79" i="8"/>
  <c r="H78" i="8"/>
  <c r="J78" i="8"/>
  <c r="L78" i="8"/>
  <c r="H77" i="8"/>
  <c r="L77" i="8"/>
  <c r="J76" i="8"/>
  <c r="L76" i="8"/>
  <c r="J75" i="8"/>
  <c r="L75" i="8"/>
  <c r="H74" i="8"/>
  <c r="L74" i="8"/>
  <c r="H73" i="8"/>
  <c r="L73" i="8"/>
  <c r="H72" i="8"/>
  <c r="J72" i="8"/>
  <c r="L72" i="8"/>
  <c r="H71" i="8"/>
  <c r="J71" i="8"/>
  <c r="L71" i="8"/>
  <c r="H70" i="8"/>
  <c r="L70" i="8"/>
  <c r="J69" i="8"/>
  <c r="L69" i="8"/>
  <c r="H68" i="8"/>
  <c r="J68" i="8"/>
  <c r="L68" i="8"/>
  <c r="L67" i="8"/>
  <c r="H66" i="8"/>
  <c r="J66" i="8"/>
  <c r="L66" i="8"/>
  <c r="H65" i="8"/>
  <c r="J65" i="8"/>
  <c r="L65" i="8"/>
  <c r="H64" i="8"/>
  <c r="J64" i="8"/>
  <c r="L64" i="8"/>
  <c r="H63" i="8"/>
  <c r="J63" i="8"/>
  <c r="L63" i="8"/>
  <c r="L62" i="8"/>
  <c r="H61" i="8"/>
  <c r="J61" i="8"/>
  <c r="L61" i="8"/>
  <c r="H60" i="8"/>
  <c r="L60" i="8"/>
  <c r="H59" i="8"/>
  <c r="J59" i="8"/>
  <c r="L59" i="8"/>
  <c r="H58" i="8"/>
  <c r="L58" i="8"/>
  <c r="H57" i="8"/>
  <c r="L57" i="8"/>
  <c r="H56" i="8"/>
  <c r="L56" i="8"/>
  <c r="H55" i="8"/>
  <c r="L55" i="8"/>
  <c r="H54" i="8"/>
  <c r="L54" i="8"/>
  <c r="H53" i="8"/>
  <c r="L53" i="8"/>
  <c r="H52" i="8"/>
  <c r="J52" i="8"/>
  <c r="L52" i="8"/>
  <c r="H51" i="8"/>
  <c r="J51" i="8"/>
  <c r="L51" i="8"/>
  <c r="L50" i="8"/>
  <c r="H49" i="8"/>
  <c r="L49" i="8"/>
  <c r="H48" i="8"/>
  <c r="J48" i="8"/>
  <c r="L48" i="8"/>
  <c r="J47" i="8"/>
  <c r="L47" i="8"/>
  <c r="J46" i="8"/>
  <c r="L46" i="8"/>
  <c r="J45" i="8"/>
  <c r="L45" i="8"/>
  <c r="J44" i="8"/>
  <c r="L44" i="8"/>
  <c r="J43" i="8"/>
  <c r="L43" i="8"/>
  <c r="J42" i="8"/>
  <c r="L42" i="8"/>
  <c r="J41" i="8"/>
  <c r="L41" i="8"/>
  <c r="H40" i="8"/>
  <c r="J40" i="8"/>
  <c r="L40" i="8"/>
  <c r="J39" i="8"/>
  <c r="L39" i="8"/>
  <c r="J38" i="8"/>
  <c r="L38" i="8"/>
  <c r="J37" i="8"/>
  <c r="L37" i="8"/>
  <c r="J36" i="8"/>
  <c r="L36" i="8"/>
  <c r="J35" i="8"/>
  <c r="L35" i="8"/>
  <c r="J34" i="8"/>
  <c r="L34" i="8"/>
  <c r="J33" i="8"/>
  <c r="L33" i="8"/>
  <c r="H32" i="8"/>
  <c r="J32" i="8"/>
  <c r="L32" i="8"/>
  <c r="H31" i="8"/>
  <c r="J31" i="8"/>
  <c r="L31" i="8"/>
  <c r="H30" i="8"/>
  <c r="J30" i="8"/>
  <c r="L30" i="8"/>
  <c r="J29" i="8"/>
  <c r="L29" i="8"/>
  <c r="J28" i="8"/>
  <c r="L28" i="8"/>
  <c r="J27" i="8"/>
  <c r="L27" i="8"/>
  <c r="J26" i="8"/>
  <c r="L26" i="8"/>
  <c r="J25" i="8"/>
  <c r="L25" i="8"/>
  <c r="L24" i="8"/>
  <c r="H23" i="8"/>
  <c r="L23" i="8"/>
  <c r="H22" i="8"/>
  <c r="J22" i="8"/>
  <c r="L22" i="8"/>
  <c r="J21" i="8"/>
  <c r="L21" i="8"/>
  <c r="H20" i="8"/>
  <c r="J20" i="8"/>
  <c r="L20" i="8"/>
  <c r="J19" i="8"/>
  <c r="L19" i="8"/>
  <c r="L18" i="8"/>
  <c r="H17" i="8"/>
  <c r="L17" i="8"/>
  <c r="J16" i="8"/>
  <c r="L16" i="8"/>
  <c r="J15" i="8"/>
  <c r="L15" i="8"/>
  <c r="H14" i="8"/>
  <c r="J14" i="8"/>
  <c r="L14" i="8"/>
  <c r="J13" i="8"/>
  <c r="L13" i="8"/>
  <c r="J12" i="8"/>
  <c r="L12" i="8"/>
  <c r="J11" i="8"/>
  <c r="L11" i="8"/>
  <c r="J10" i="8"/>
  <c r="L10" i="8"/>
  <c r="J9" i="8"/>
  <c r="L9" i="8"/>
  <c r="J8" i="8"/>
  <c r="L8" i="8"/>
  <c r="L7" i="8"/>
  <c r="H6" i="8"/>
  <c r="L6" i="8"/>
  <c r="H5" i="8"/>
  <c r="L5" i="8"/>
  <c r="H4" i="8"/>
  <c r="J4" i="8"/>
  <c r="L4" i="8"/>
  <c r="H3" i="8"/>
  <c r="J3" i="8"/>
  <c r="L3" i="8"/>
  <c r="H2" i="8"/>
  <c r="J2" i="8"/>
  <c r="L2" i="8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H93" i="3"/>
  <c r="J93" i="3"/>
  <c r="H92" i="3"/>
  <c r="J92" i="3"/>
  <c r="H91" i="3"/>
  <c r="J91" i="3"/>
  <c r="H90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H59" i="3"/>
  <c r="J59" i="3"/>
  <c r="H58" i="3"/>
  <c r="J58" i="3"/>
  <c r="H57" i="3"/>
  <c r="J57" i="3"/>
  <c r="H56" i="3"/>
  <c r="J56" i="3"/>
  <c r="H55" i="3"/>
  <c r="J55" i="3"/>
  <c r="H54" i="3"/>
  <c r="J54" i="3"/>
  <c r="H53" i="3"/>
  <c r="J53" i="3"/>
  <c r="J52" i="3"/>
  <c r="H51" i="3"/>
  <c r="J51" i="3"/>
  <c r="H50" i="3"/>
  <c r="J50" i="3"/>
  <c r="H49" i="3"/>
  <c r="J49" i="3"/>
  <c r="J48" i="3"/>
  <c r="H47" i="3"/>
  <c r="J47" i="3"/>
  <c r="H46" i="3"/>
  <c r="J46" i="3"/>
  <c r="J45" i="3"/>
  <c r="H44" i="3"/>
  <c r="J44" i="3"/>
  <c r="H43" i="3"/>
  <c r="J43" i="3"/>
  <c r="H42" i="3"/>
  <c r="J42" i="3"/>
  <c r="J41" i="3"/>
  <c r="J40" i="3"/>
  <c r="J39" i="3"/>
  <c r="H38" i="3"/>
  <c r="J38" i="3"/>
  <c r="J37" i="3"/>
  <c r="J36" i="3"/>
  <c r="J35" i="3"/>
  <c r="H34" i="3"/>
  <c r="J34" i="3"/>
  <c r="J33" i="3"/>
  <c r="H32" i="3"/>
  <c r="J32" i="3"/>
  <c r="H31" i="3"/>
  <c r="J31" i="3"/>
  <c r="J30" i="3"/>
  <c r="H29" i="3"/>
  <c r="J29" i="3"/>
  <c r="H28" i="3"/>
  <c r="J28" i="3"/>
  <c r="H27" i="3"/>
  <c r="J27" i="3"/>
  <c r="J26" i="3"/>
  <c r="H25" i="3"/>
  <c r="J25" i="3"/>
  <c r="J24" i="3"/>
  <c r="J23" i="3"/>
  <c r="J22" i="3"/>
  <c r="J21" i="3"/>
  <c r="H20" i="3"/>
  <c r="J20" i="3"/>
  <c r="H19" i="3"/>
  <c r="J19" i="3"/>
  <c r="H18" i="3"/>
  <c r="J18" i="3"/>
  <c r="H17" i="3"/>
  <c r="J17" i="3"/>
  <c r="H16" i="3"/>
  <c r="J16" i="3"/>
  <c r="H15" i="3"/>
  <c r="J15" i="3"/>
  <c r="H14" i="3"/>
  <c r="J14" i="3"/>
  <c r="H13" i="3"/>
  <c r="J13" i="3"/>
  <c r="H12" i="3"/>
  <c r="J12" i="3"/>
  <c r="H11" i="3"/>
  <c r="J11" i="3"/>
  <c r="H10" i="3"/>
  <c r="J10" i="3"/>
  <c r="H9" i="3"/>
  <c r="J9" i="3"/>
  <c r="H8" i="3"/>
  <c r="J8" i="3"/>
  <c r="H7" i="3"/>
  <c r="J7" i="3"/>
  <c r="H4" i="3"/>
  <c r="J4" i="3"/>
  <c r="H3" i="3"/>
  <c r="J3" i="3"/>
  <c r="H2" i="3"/>
  <c r="J2" i="3"/>
  <c r="H124" i="2"/>
  <c r="H81" i="2"/>
  <c r="E69" i="2"/>
  <c r="H75" i="6"/>
  <c r="J75" i="6"/>
  <c r="L75" i="6"/>
  <c r="H74" i="6"/>
  <c r="J74" i="6"/>
  <c r="L74" i="6"/>
  <c r="H73" i="6"/>
  <c r="J73" i="6"/>
  <c r="L73" i="6"/>
  <c r="J72" i="6"/>
  <c r="L72" i="6"/>
  <c r="H71" i="6"/>
  <c r="J71" i="6"/>
  <c r="L71" i="6"/>
  <c r="H70" i="6"/>
  <c r="J70" i="6"/>
  <c r="L70" i="6"/>
  <c r="L69" i="6"/>
  <c r="H68" i="6"/>
  <c r="J68" i="6"/>
  <c r="L68" i="6"/>
  <c r="H67" i="6"/>
  <c r="J67" i="6"/>
  <c r="L67" i="6"/>
  <c r="H66" i="6"/>
  <c r="J66" i="6"/>
  <c r="L66" i="6"/>
  <c r="H65" i="6"/>
  <c r="J65" i="6"/>
  <c r="L65" i="6"/>
  <c r="J64" i="6"/>
  <c r="L64" i="6"/>
  <c r="H63" i="6"/>
  <c r="J63" i="6"/>
  <c r="L63" i="6"/>
  <c r="H62" i="6"/>
  <c r="J62" i="6"/>
  <c r="L62" i="6"/>
  <c r="H61" i="6"/>
  <c r="J61" i="6"/>
  <c r="L61" i="6"/>
  <c r="H60" i="6"/>
  <c r="J60" i="6"/>
  <c r="L60" i="6"/>
  <c r="H59" i="6"/>
  <c r="J59" i="6"/>
  <c r="L59" i="6"/>
  <c r="H58" i="6"/>
  <c r="J58" i="6"/>
  <c r="L58" i="6"/>
  <c r="H57" i="6"/>
  <c r="J57" i="6"/>
  <c r="L57" i="6"/>
  <c r="L56" i="6"/>
  <c r="J54" i="6"/>
  <c r="L54" i="6"/>
  <c r="H53" i="6"/>
  <c r="J53" i="6"/>
  <c r="L53" i="6"/>
  <c r="H52" i="6"/>
  <c r="J52" i="6"/>
  <c r="L52" i="6"/>
  <c r="H51" i="6"/>
  <c r="J51" i="6"/>
  <c r="L51" i="6"/>
  <c r="H50" i="6"/>
  <c r="J50" i="6"/>
  <c r="L50" i="6"/>
  <c r="H49" i="6"/>
  <c r="J49" i="6"/>
  <c r="H48" i="6"/>
  <c r="J48" i="6"/>
  <c r="L48" i="6"/>
  <c r="H47" i="6"/>
  <c r="J47" i="6"/>
  <c r="L47" i="6"/>
  <c r="H46" i="6"/>
  <c r="J46" i="6"/>
  <c r="H42" i="6"/>
  <c r="J42" i="6"/>
  <c r="L42" i="6"/>
  <c r="H41" i="6"/>
  <c r="J41" i="6"/>
  <c r="L41" i="6"/>
  <c r="J40" i="6"/>
  <c r="L40" i="6"/>
  <c r="J39" i="6"/>
  <c r="L39" i="6"/>
  <c r="J38" i="6"/>
  <c r="L38" i="6"/>
  <c r="H37" i="6"/>
  <c r="J37" i="6"/>
  <c r="L37" i="6"/>
  <c r="H36" i="6"/>
  <c r="J36" i="6"/>
  <c r="L36" i="6"/>
  <c r="H35" i="6"/>
  <c r="J35" i="6"/>
  <c r="L35" i="6"/>
  <c r="J34" i="6"/>
  <c r="L34" i="6"/>
  <c r="J33" i="6"/>
  <c r="L33" i="6"/>
  <c r="H32" i="6"/>
  <c r="J32" i="6"/>
  <c r="L32" i="6"/>
  <c r="J31" i="6"/>
  <c r="L31" i="6"/>
  <c r="J30" i="6"/>
  <c r="L30" i="6"/>
  <c r="J29" i="6"/>
  <c r="L29" i="6"/>
  <c r="J28" i="6"/>
  <c r="L28" i="6"/>
  <c r="J27" i="6"/>
  <c r="L27" i="6"/>
  <c r="J26" i="6"/>
  <c r="L26" i="6"/>
  <c r="H25" i="6"/>
  <c r="J25" i="6"/>
  <c r="L25" i="6"/>
  <c r="L24" i="6"/>
  <c r="H23" i="6"/>
  <c r="J23" i="6"/>
  <c r="L23" i="6"/>
  <c r="H22" i="6"/>
  <c r="J22" i="6"/>
  <c r="L22" i="6"/>
  <c r="J21" i="6"/>
  <c r="L21" i="6"/>
  <c r="J20" i="6"/>
  <c r="L20" i="6"/>
  <c r="J19" i="6"/>
  <c r="L19" i="6"/>
  <c r="H18" i="6"/>
  <c r="J18" i="6"/>
  <c r="L18" i="6"/>
  <c r="J17" i="6"/>
  <c r="L17" i="6"/>
  <c r="L16" i="6"/>
  <c r="H15" i="6"/>
  <c r="J15" i="6"/>
  <c r="L15" i="6"/>
  <c r="H14" i="6"/>
  <c r="J14" i="6"/>
  <c r="L14" i="6"/>
  <c r="H13" i="6"/>
  <c r="J13" i="6"/>
  <c r="L13" i="6"/>
  <c r="H12" i="6"/>
  <c r="J12" i="6"/>
  <c r="L12" i="6"/>
  <c r="H11" i="6"/>
  <c r="J11" i="6"/>
  <c r="L11" i="6"/>
  <c r="H10" i="6"/>
  <c r="J10" i="6"/>
  <c r="L10" i="6"/>
  <c r="H9" i="6"/>
  <c r="J9" i="6"/>
  <c r="L9" i="6"/>
  <c r="H8" i="6"/>
  <c r="J8" i="6"/>
  <c r="L8" i="6"/>
  <c r="H7" i="6"/>
  <c r="J7" i="6"/>
  <c r="L7" i="6"/>
  <c r="H6" i="6"/>
  <c r="J6" i="6"/>
  <c r="L6" i="6"/>
  <c r="J5" i="6"/>
  <c r="L5" i="6"/>
  <c r="J4" i="6"/>
  <c r="L4" i="6"/>
  <c r="J3" i="6"/>
  <c r="L3" i="6"/>
  <c r="J2" i="6"/>
  <c r="L2" i="6"/>
  <c r="J2" i="7"/>
  <c r="E53" i="2"/>
  <c r="H83" i="2"/>
  <c r="H84" i="2"/>
  <c r="E75" i="2"/>
  <c r="E62" i="2"/>
  <c r="E78" i="2"/>
  <c r="E66" i="2"/>
  <c r="E121" i="2"/>
  <c r="E105" i="2"/>
  <c r="E118" i="2"/>
  <c r="E112" i="2"/>
  <c r="E109" i="2"/>
  <c r="E96" i="2"/>
  <c r="H126" i="2"/>
  <c r="H127" i="2"/>
  <c r="H128" i="2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H85" i="2"/>
  <c r="A40" i="2"/>
  <c r="A39" i="2"/>
  <c r="A38" i="2"/>
  <c r="A37" i="2"/>
  <c r="A36" i="2"/>
  <c r="A35" i="2"/>
  <c r="H12" i="2"/>
  <c r="H9" i="2"/>
  <c r="H10" i="2"/>
  <c r="H11" i="2"/>
  <c r="H16" i="2"/>
  <c r="H25" i="2"/>
  <c r="H32" i="2"/>
  <c r="H23" i="2"/>
  <c r="H29" i="2"/>
  <c r="H20" i="2"/>
  <c r="H7" i="2"/>
  <c r="H35" i="2"/>
  <c r="E7" i="2"/>
  <c r="B35" i="2"/>
  <c r="E20" i="2"/>
  <c r="B37" i="2"/>
  <c r="H37" i="2"/>
  <c r="H38" i="2"/>
  <c r="H40" i="2"/>
  <c r="E29" i="2"/>
  <c r="B39" i="2"/>
  <c r="E23" i="2"/>
  <c r="B38" i="2"/>
  <c r="E32" i="2"/>
  <c r="B40" i="2"/>
  <c r="E16" i="2"/>
  <c r="B36" i="2"/>
  <c r="B41" i="2"/>
  <c r="H39" i="2"/>
  <c r="H39" i="18" l="1"/>
  <c r="H40" i="18"/>
  <c r="B35" i="18"/>
  <c r="E20" i="18"/>
  <c r="B37" i="18" s="1"/>
  <c r="E32" i="18"/>
  <c r="B40" i="18" s="1"/>
  <c r="E16" i="18"/>
  <c r="B36" i="18" s="1"/>
  <c r="E23" i="18"/>
  <c r="B38" i="18" s="1"/>
  <c r="E32" i="17"/>
  <c r="B40" i="17" s="1"/>
  <c r="E20" i="17"/>
  <c r="B37" i="17" s="1"/>
  <c r="E7" i="17"/>
  <c r="B35" i="17" s="1"/>
  <c r="E29" i="17"/>
  <c r="B39" i="17" s="1"/>
  <c r="H37" i="17"/>
  <c r="H38" i="17" s="1"/>
  <c r="H39" i="17" s="1"/>
  <c r="H40" i="17"/>
  <c r="E23" i="17"/>
  <c r="B38" i="17" s="1"/>
  <c r="E16" i="17"/>
  <c r="B36" i="17" s="1"/>
  <c r="B41" i="17" s="1"/>
  <c r="E20" i="16"/>
  <c r="B37" i="16" s="1"/>
  <c r="H38" i="16"/>
  <c r="E16" i="16"/>
  <c r="B36" i="16" s="1"/>
  <c r="E23" i="16"/>
  <c r="B38" i="16" s="1"/>
  <c r="E7" i="16"/>
  <c r="B35" i="16" s="1"/>
  <c r="E32" i="16"/>
  <c r="B40" i="16" s="1"/>
  <c r="H41" i="15"/>
  <c r="B41" i="18" l="1"/>
  <c r="B41" i="16"/>
  <c r="H40" i="16"/>
  <c r="H39" i="16"/>
</calcChain>
</file>

<file path=xl/sharedStrings.xml><?xml version="1.0" encoding="utf-8"?>
<sst xmlns="http://schemas.openxmlformats.org/spreadsheetml/2006/main" count="5587" uniqueCount="1328">
  <si>
    <t>Avocado Corn Flatbread</t>
  </si>
  <si>
    <t>Deli</t>
  </si>
  <si>
    <t>EA</t>
  </si>
  <si>
    <t>Spanish bocadillo</t>
  </si>
  <si>
    <t>Smokehouse chicken</t>
  </si>
  <si>
    <t>Italian Turkey</t>
  </si>
  <si>
    <t>Roast Beef Sandwhich</t>
  </si>
  <si>
    <t>Micron</t>
  </si>
  <si>
    <t>http://www.onlineconversion.com/weight_volume_cooking.htm</t>
  </si>
  <si>
    <t xml:space="preserve">Recipe: </t>
  </si>
  <si>
    <t>Unit to Weight Converter</t>
  </si>
  <si>
    <t xml:space="preserve">Station: </t>
  </si>
  <si>
    <t xml:space="preserve">Yield: </t>
  </si>
  <si>
    <t>https://www.traditionaloven.com/</t>
  </si>
  <si>
    <t xml:space="preserve">Scale: </t>
  </si>
  <si>
    <t>Portion Size:</t>
  </si>
  <si>
    <t>INGREDIENTS</t>
  </si>
  <si>
    <t>AMOUNTS</t>
  </si>
  <si>
    <t>Extension=Quanitity* Cost</t>
  </si>
  <si>
    <t>QUANTITY</t>
  </si>
  <si>
    <t>UNIT</t>
  </si>
  <si>
    <t>Cost</t>
  </si>
  <si>
    <t>Extension</t>
  </si>
  <si>
    <t>Storeroom PL ()</t>
  </si>
  <si>
    <t>Total</t>
  </si>
  <si>
    <t>oz</t>
  </si>
  <si>
    <t>Meat PL ()</t>
  </si>
  <si>
    <t>Dairy PL ()</t>
  </si>
  <si>
    <t>CHEESE, QUESO FRESCO WHEEL DOMESTIC VACUUM-PACK REF (ALT # 50031)</t>
  </si>
  <si>
    <t>ea</t>
  </si>
  <si>
    <t>Produce PL ()</t>
  </si>
  <si>
    <t>AVOCADO HASS RIPE 48CT</t>
  </si>
  <si>
    <t>RADDISHES TOPPED</t>
  </si>
  <si>
    <t>HERBS CILANTRO WSH/TRM</t>
  </si>
  <si>
    <t>Bakery PL ()</t>
  </si>
  <si>
    <t>Frozen PL ()</t>
  </si>
  <si>
    <t>CORN, KERNEL YELLOW IQF FROZEN (ALT # 50061)</t>
  </si>
  <si>
    <t xml:space="preserve">Total Cost: </t>
  </si>
  <si>
    <t xml:space="preserve">Sale Price: </t>
  </si>
  <si>
    <t xml:space="preserve">Food Cost: </t>
  </si>
  <si>
    <t>Profit:</t>
  </si>
  <si>
    <t>Profit Margin:</t>
  </si>
  <si>
    <t>Markup:</t>
  </si>
  <si>
    <t>Sub-Recipe #1</t>
  </si>
  <si>
    <t>black bean hummus</t>
  </si>
  <si>
    <t>Grams</t>
  </si>
  <si>
    <t>BEAN, BLACK TURTLE DRIED WASHED</t>
  </si>
  <si>
    <t>JUICE, LIME NOT-FROM-CONCENTRATE PLASTIC BOTTLE REF (ALT # 50011)</t>
  </si>
  <si>
    <t>OIL, CANOLA OLIVE EXTRA VIRGIN 90/10 BLEND SALAD &amp; FRYING PLASTIC JUG (ALT # 50011)</t>
  </si>
  <si>
    <t>SPICE, PEPPER BLACK GROUND PLASTIC JUG 20M TABLE/RESTAURANT GRIND (ALT # 50011)</t>
  </si>
  <si>
    <t>SPICE, CUMIN GROUND PLASTIC JUG SHELF STABLE SEASONING (ALT # 50011)</t>
  </si>
  <si>
    <t>SPICE, CHILI POWDER MILD PLASTIC JUG SHELF STABLE SEASONING (ALT # 50011)</t>
  </si>
  <si>
    <t>Sub-Recipe #2</t>
  </si>
  <si>
    <t>flatbread</t>
  </si>
  <si>
    <t>HERBS BASIL</t>
  </si>
  <si>
    <t>HERBS PARSLEY ITALIAN</t>
  </si>
  <si>
    <t>GARLIC, WHITE JUMBO WHOLE CLOVE PEELED BAG FRESH REF</t>
  </si>
  <si>
    <t>DOUGH, PIZZA CRUST 7" PAN SHEETED FROZEN</t>
  </si>
  <si>
    <t>SAUSAGE, CHORIZO PORK 4 OZ LINK HOT RAW FROZEN (ALT # 50021)</t>
  </si>
  <si>
    <t>HAM, PROSCIUTTO HALF REF ITALIAN STYLE PORK (ALT # 50021)</t>
  </si>
  <si>
    <t>CHEESE, CHEVRE CRUMBLE DOMESTIC TRAY REF GOAT (ALT # 50031)</t>
  </si>
  <si>
    <t>CHEESE, MANCHEGO LOG DOMESTIC VACUUM-PACK REF (ALT # 50031)</t>
  </si>
  <si>
    <t>LETTUCE ARUGULA WILD</t>
  </si>
  <si>
    <t>CIABATA</t>
  </si>
  <si>
    <t>VINEGAR, SHERRY IMPORTED SPAIN GLASS BOTTLE</t>
  </si>
  <si>
    <t>HONEY, CLOVER PLASTIC JUG SHELF STABLE GRADE A (ALT # 50011)</t>
  </si>
  <si>
    <t>FLAVORING, SMOKE HICKORY LIQUID PLASTIC SHELF STABLE</t>
  </si>
  <si>
    <t>TOMATOES 2 LYR 5X6 REP</t>
  </si>
  <si>
    <t>ONION, RED JMB 3" BAG FRESH</t>
  </si>
  <si>
    <t>CHICKEN, BREAST SINGLE-LOBE 5 OZ BONELESS-SKINLESS NATURAL RAW IF FROZEN IC (ALT # 50021)</t>
  </si>
  <si>
    <t>CHEESE, SWISS SLICED .75 OZ TRAY REF (ALT # 50031)</t>
  </si>
  <si>
    <t>LETTUCE GRN LEAF FLT</t>
  </si>
  <si>
    <t>Brioche Bun</t>
  </si>
  <si>
    <t>chicken marinade</t>
  </si>
  <si>
    <t>SALT, SEA CALIFORNIA FLAKE BAG (ALT # 50011)</t>
  </si>
  <si>
    <t>JUICE, LEMON NOT-FROM-CONCENTRATE PLASTIC BOTTLE REF (ALT # 50015)</t>
  </si>
  <si>
    <t>HERBS THYME BAG</t>
  </si>
  <si>
    <t>caramelized onion spread</t>
  </si>
  <si>
    <t>MAYONNAISE, REAL SHELF STABLE (ALT # 50011)</t>
  </si>
  <si>
    <t>ONION, YLW SPR COLSL 4 1/2"</t>
  </si>
  <si>
    <t>HERBS CHIVES</t>
  </si>
  <si>
    <t>Giardinara</t>
  </si>
  <si>
    <t>PEPPER, RED ROASTED ITALIAN STYLE IMPORTED SPAIN SHELF STABLE (ALT # 50011)</t>
  </si>
  <si>
    <t>PEPPER, BANANA MILD CRINKLE-CUT 5/16" IN BRINE DOMESTIC PLASTIC JAR SHELF S (ALT # 50011)</t>
  </si>
  <si>
    <t>SEASONING, ITALIAN SHELF STABLE SPICE (ALT # 50011)</t>
  </si>
  <si>
    <t>VINEGAR, WINE RED (ALT # 50011)</t>
  </si>
  <si>
    <t>CARROTS STICK MATCHSTI</t>
  </si>
  <si>
    <t>PEPPERS JALP LRG</t>
  </si>
  <si>
    <t>CELERY 24 CT</t>
  </si>
  <si>
    <t>CAULIFLOWER CELLO 12CT</t>
  </si>
  <si>
    <t>TURKEY, BREAST ROAST SKIN-ON SEASONED SOLUTION ADDED 15% RAW COOK-IN-FOIL F (ALT # 50021)</t>
  </si>
  <si>
    <t>PEPPERONI, PORK BEEF SLICED 14-16 COUNT COOKED REF GAS FLUSHED NO CHAR (ALT # 50021)</t>
  </si>
  <si>
    <t>CHEESE, MOZZARELLA LOG WHOLE MILK DRY PACK 2 LB RBST FREE REF FRESH (ALT # 50031)</t>
  </si>
  <si>
    <t>SOURDOUGH SANDWICH ROLLS</t>
  </si>
  <si>
    <t>BEEF, EYE OF ROUND CHOICE ANGUS 171C RAW REF (ALT # 50021)</t>
  </si>
  <si>
    <t>CHEESE, PEPPER JACK SLICED .75 OZ TRAY REF (ALT # 50031)</t>
  </si>
  <si>
    <t>sl</t>
  </si>
  <si>
    <t>Caramalized onions</t>
  </si>
  <si>
    <t>chipotle lime mayo</t>
  </si>
  <si>
    <t>PEPPER, CHIPOTLE HOT WHOLE IMPORTED MEXICO SHELF STABLE (ALT # 50011)</t>
  </si>
  <si>
    <t>Category</t>
  </si>
  <si>
    <t>Item</t>
  </si>
  <si>
    <t>Brand</t>
  </si>
  <si>
    <t>Pack Size</t>
  </si>
  <si>
    <t>Full $</t>
  </si>
  <si>
    <t>Unit</t>
  </si>
  <si>
    <t>Total OZ</t>
  </si>
  <si>
    <t>Cost Per OZ</t>
  </si>
  <si>
    <t>Tortillas</t>
  </si>
  <si>
    <t>10IN FLOUR TORTILLA FSA</t>
  </si>
  <si>
    <t>FRESCA</t>
  </si>
  <si>
    <t>12/12EA</t>
  </si>
  <si>
    <t>CS</t>
  </si>
  <si>
    <t>TORTILLA, CHIP RAW 4 CUT YELLOW CORN 6" REF (replaces 6089948)</t>
  </si>
  <si>
    <t>RUDY'S FOOD PRODUCTS</t>
  </si>
  <si>
    <t>6/144 EA</t>
  </si>
  <si>
    <t>TORTILLA, CHIP RAW STRIP TRI COLOR CORN FRESH-TO-FROZEN</t>
  </si>
  <si>
    <t>15 LB</t>
  </si>
  <si>
    <t>Call For Price</t>
  </si>
  <si>
    <t>OZ</t>
  </si>
  <si>
    <t>TORTILLA, CHIP RAW STRIP TRI COLOR CORN SHELF STABLE THIN (ALT # 50011)</t>
  </si>
  <si>
    <t>MISSION</t>
  </si>
  <si>
    <t>3/10 LB</t>
  </si>
  <si>
    <t>TORTILLA, CORN WHITE 6" DIE CUT SHELF STABLE (ALT # 50011)</t>
  </si>
  <si>
    <t>6/60 EA</t>
  </si>
  <si>
    <t>TORTILLA, CORN YELLOW 6" DIE CUT SHELF STABLE</t>
  </si>
  <si>
    <t>DEL PASADO</t>
  </si>
  <si>
    <t>12/60 EA</t>
  </si>
  <si>
    <t>TORTILLA, FLOUR 10" PRESSED SHELF-STABLE-TO-FROZEN</t>
  </si>
  <si>
    <t>12/12 EA</t>
  </si>
  <si>
    <t>TORTILLA, FLOUR 12" PRESSED SHELF STABLE</t>
  </si>
  <si>
    <t>LA BANDERITA</t>
  </si>
  <si>
    <t>8/12 EA</t>
  </si>
  <si>
    <t>TORTILLA, FLOUR 6" PRESSED SHELF STABLE</t>
  </si>
  <si>
    <t>12/24 EA</t>
  </si>
  <si>
    <t>TORTILLA, FLOUR CHIPOTLE 12" PRESSED SHELF STABLE (ALT # 50011)</t>
  </si>
  <si>
    <t>6/12 EA</t>
  </si>
  <si>
    <t>TORTILLA, FLOUR SPINACH HERB 12" PRESSED SHELF STABLE</t>
  </si>
  <si>
    <t>HILLTOP HEARTH</t>
  </si>
  <si>
    <t>TORTILLA, FLOUR WHOLE GRAIN 12.5" PRESSED FRESH-TO-FROZEN</t>
  </si>
  <si>
    <t>RUBIO'S FRESH MEXICAN GRILL</t>
  </si>
  <si>
    <t>No Price</t>
  </si>
  <si>
    <t>TORTILLA, FLOUR WHOLE WHEAT 12" PRESSED SHELF STABLE</t>
  </si>
  <si>
    <t>Fresh Bread</t>
  </si>
  <si>
    <t>PB</t>
  </si>
  <si>
    <t>BAG</t>
  </si>
  <si>
    <t>BAGELS BLUEBERRY</t>
  </si>
  <si>
    <t>NVBB</t>
  </si>
  <si>
    <t>BAGELS EVERYTHING</t>
  </si>
  <si>
    <t>BAGELS PLAIN</t>
  </si>
  <si>
    <t>BAGELS RAISIN</t>
  </si>
  <si>
    <t>Baguette</t>
  </si>
  <si>
    <t>BIG HORN WHEAT</t>
  </si>
  <si>
    <t>FRANZ</t>
  </si>
  <si>
    <t>ENGLISH MUFFINS</t>
  </si>
  <si>
    <t>FARM BUTTERMILK</t>
  </si>
  <si>
    <t>French Roll</t>
  </si>
  <si>
    <t>GLUTEN FREE WHITE BREAD</t>
  </si>
  <si>
    <t>HAMBURGER BUNS SESAME</t>
  </si>
  <si>
    <t>HAMBURGER BUNS WHOLE WHEAT</t>
  </si>
  <si>
    <t>HERB FOCACIA SHEET</t>
  </si>
  <si>
    <t>Hoagie</t>
  </si>
  <si>
    <t>MGR</t>
  </si>
  <si>
    <t>HONEY WHEAT</t>
  </si>
  <si>
    <t>MARBLED RYE</t>
  </si>
  <si>
    <t>MINI BLUEBERRY BAGELS</t>
  </si>
  <si>
    <t>MINI PLAIN BAGELS</t>
  </si>
  <si>
    <t>OLD TOWN SOURDOUGH</t>
  </si>
  <si>
    <t>Pub Roll</t>
  </si>
  <si>
    <t>Rustic Rolls</t>
  </si>
  <si>
    <t>SAN JUAN 9 GRAIN</t>
  </si>
  <si>
    <t>Texas Sliced</t>
  </si>
  <si>
    <t>$Full</t>
  </si>
  <si>
    <t>Cheese</t>
  </si>
  <si>
    <t>BRIE CHEESE SYSCO</t>
  </si>
  <si>
    <t>PRESIDENT</t>
  </si>
  <si>
    <t>2/2#</t>
  </si>
  <si>
    <t>CHEESE, AMERICAN SHARP SLICED 135 COUNT PROCESSED YELLOW SUPERCURED REF (ALT # 50031)</t>
  </si>
  <si>
    <t>GLENVIEW FARMS</t>
  </si>
  <si>
    <t>4/5 LB</t>
  </si>
  <si>
    <t>SL</t>
  </si>
  <si>
    <t>CHEESE, ASIAGO AGED HALF WHEEL WRAPPED REF DOMESTIC</t>
  </si>
  <si>
    <t>ROSELI</t>
  </si>
  <si>
    <t>12 LBA</t>
  </si>
  <si>
    <t>LB</t>
  </si>
  <si>
    <t>CHEESE, ASSORTED 3 VARIETY CUBE BAG REF (ALT # 50031)</t>
  </si>
  <si>
    <t>3/5 LB</t>
  </si>
  <si>
    <t>CHEESE, BLUE CRUMBLE DOMESTIC BAG REF (ALT # 50031)</t>
  </si>
  <si>
    <t>CHEESE, BRIE WHEEL</t>
  </si>
  <si>
    <t>CHEESE, BRIE WHEEL DOMESTIC 60% BUTTERFAT PLASTIC WRAPPED REF</t>
  </si>
  <si>
    <t>2/2.2 LB</t>
  </si>
  <si>
    <t>CHEESE, BRIE WHEEL DOMESTIC WRAPPED REF (ALT # 50031)</t>
  </si>
  <si>
    <t>6/8 OZ</t>
  </si>
  <si>
    <t>CHEESE, BURRATA BALL DOMESTIC CUP REF 4 OZ IN WATER (ALT # 50031)</t>
  </si>
  <si>
    <t>BELGIOIOSO</t>
  </si>
  <si>
    <t>6/2/4 OZ</t>
  </si>
  <si>
    <t>CHEESE, CHEDDAR EXTRA-SHARP BAR YELLOW REF</t>
  </si>
  <si>
    <t>10 LB</t>
  </si>
  <si>
    <t>CHEESE, CHEDDAR MILD SHRED BAG YELLOW REF (ALT # 50031)</t>
  </si>
  <si>
    <t>CHEESE, CHEDDAR MILD SLICED .75 OZ TRAY YELLOW REF (ALT # 50031)</t>
  </si>
  <si>
    <t>4/2.5 LB</t>
  </si>
  <si>
    <t>2/2 LB</t>
  </si>
  <si>
    <t>CHEESE, COTIJA LOAF DOMESTIC CRYOVAC REF (ALT # 50031)</t>
  </si>
  <si>
    <t>CHEESE, COTTAGE SMALL CURD 2% MILK FAT TUB REF (ALT # 50031)</t>
  </si>
  <si>
    <t>CHEESE, CREAM PLAIN LOAF PAPER-WRAPPED REF (ALT # 50031)</t>
  </si>
  <si>
    <t>10/3 LB</t>
  </si>
  <si>
    <t>CHEESE, FETA BLOCK IN BRINE TUB REF</t>
  </si>
  <si>
    <t>2/9 LB</t>
  </si>
  <si>
    <t>CHEESE, FETA CRUMBLE DRY PACK REF (ALT # 50031)</t>
  </si>
  <si>
    <t>CHEESE, FETA CRUMBLE IN BRINE PAIL REF</t>
  </si>
  <si>
    <t>27 LB</t>
  </si>
  <si>
    <t>CHEESE, FONTINA SLICED DOMESTIC GAS FLUSHED REF</t>
  </si>
  <si>
    <t>12/1 LB</t>
  </si>
  <si>
    <t>Call For</t>
  </si>
  <si>
    <t>Price</t>
  </si>
  <si>
    <t>CHEESE, GORGONZOLA CRUMBLE DOMESTIC BAG REF (ALT # 50031)</t>
  </si>
  <si>
    <t>CHEESE, GORGONZOLA WHEEL REF</t>
  </si>
  <si>
    <t>8 LBA</t>
  </si>
  <si>
    <t>CHEESE, GOUDA SMOKED SHRED FEATHER DOMESTIC BAG REF (ALT # 50031)</t>
  </si>
  <si>
    <t>BELLA ROSA</t>
  </si>
  <si>
    <t>6/5 LB</t>
  </si>
  <si>
    <t>CHEESE, GRUYERE LOAF DOMESTIC CRYOVAC REF</t>
  </si>
  <si>
    <t>2/7 LBA</t>
  </si>
  <si>
    <t>CACIQUE</t>
  </si>
  <si>
    <t>4/5 LBA</t>
  </si>
  <si>
    <t>CHEESE, MASCARPONE DOMESTIC PLASTIC TUB REF</t>
  </si>
  <si>
    <t>CHEESE, MONTEREY JACK SLICED .75 OZ TRAY REF (ALT # 50031)</t>
  </si>
  <si>
    <t>CHEESE, MOZZARELLA CILIEGINE BALL IN WATER .3 OZ REF FRESH</t>
  </si>
  <si>
    <t>2/3 LB</t>
  </si>
  <si>
    <t>6/2 LB</t>
  </si>
  <si>
    <t>CHEESE, MOZZARELLA OVOLINI BALL IN WATER 4 OZ REF FRESH</t>
  </si>
  <si>
    <t>CHEESE, MOZZARELLA PROVOLONE 4 BLEND SHRED FEATHER LOW-MOISTURE-WHOLE-MILK (ALT # 50031)</t>
  </si>
  <si>
    <t>CHEESE, MOZZARELLA SLICED .75 OZ LOW-MOISTURE-PART-SKIM TRAY REF</t>
  </si>
  <si>
    <t>CHEESE, MUENSTER SLICED .75 OZ TRAY REF</t>
  </si>
  <si>
    <t>CHEESE, OAXACA BALL DOMESTIC CVP REF</t>
  </si>
  <si>
    <t>EL MEXICANO</t>
  </si>
  <si>
    <t>2/5 LB</t>
  </si>
  <si>
    <t>CHEESE, PARMESAN SHRED BAG REF (ALT # 50031)</t>
  </si>
  <si>
    <t>CHEESE, PARMESAN WHEEL CRYOVAC REF</t>
  </si>
  <si>
    <t>20 LBA</t>
  </si>
  <si>
    <t>CHEESE, PEPPERJACK 120 SL FSA</t>
  </si>
  <si>
    <t>SCHREIBER</t>
  </si>
  <si>
    <t>4/5LB</t>
  </si>
  <si>
    <t>CHEESE, PROVOLONE SLICED .75 OZ TWIN PACK REF (ALT # 50031)</t>
  </si>
  <si>
    <t>6/1.5 LB</t>
  </si>
  <si>
    <t>2/6 LBA</t>
  </si>
  <si>
    <t>CHEESE, RICOTTA WHOLE MILK WHIPPED REF (ALT # 50031)</t>
  </si>
  <si>
    <t>CHEESE, ROQUEFORT IMPORTED FRANCE CRYOVAC REF</t>
  </si>
  <si>
    <t>PACKER-FI-UT</t>
  </si>
  <si>
    <t>2/3 LBA</t>
  </si>
  <si>
    <t>GOUDA, SMOKED LOG</t>
  </si>
  <si>
    <t>NONE</t>
  </si>
  <si>
    <t>6#</t>
  </si>
  <si>
    <t>MOZZARELLA LOAF, WHOLE MILK</t>
  </si>
  <si>
    <t>DELLA VITA</t>
  </si>
  <si>
    <t>8/6LB</t>
  </si>
  <si>
    <t>Dairy</t>
  </si>
  <si>
    <t>BUTTER, SOLID GRADE AA UNSALTED RBST FREE REF</t>
  </si>
  <si>
    <t>36/1 LB</t>
  </si>
  <si>
    <t>CREAM, WHIPPING HEAVY 40% BUTTERFAT PASTEURIZED DAIRY PLASTIC BOTTLE REF (ALT # 50031)</t>
  </si>
  <si>
    <t>WINDER FARMS</t>
  </si>
  <si>
    <t>4/1 GA</t>
  </si>
  <si>
    <t>MILK, 2% REDUCED FAT PLASTIC JUG REF (ALT # 50031)</t>
  </si>
  <si>
    <t>2/1 GA</t>
  </si>
  <si>
    <t>MILK, BUTTERMILK 1% BUTTERFAT RBST FREE VITAMIN A &amp; D CARTON GABLE TOP REF (ALT # 50031)</t>
  </si>
  <si>
    <t>6/.5 GA</t>
  </si>
  <si>
    <t>MILK, SKIM PLASTIC JUG REF FAT-FREE (ALT # 50031)</t>
  </si>
  <si>
    <t>MILK, WHOLE PLASTIC JUG REF HOMOGENIZED (ALT # 50031)</t>
  </si>
  <si>
    <t>SOUR CREAM, CULTURED ALL NATURAL SS PACKET REF</t>
  </si>
  <si>
    <t>DAISY BRAND</t>
  </si>
  <si>
    <t>100/1 OZ</t>
  </si>
  <si>
    <t>SOUR CREAM, CULTURED PAIL REF (ALT # 50031)</t>
  </si>
  <si>
    <t>32 LB</t>
  </si>
  <si>
    <t>TOPPING, WHIPPED NON-DAIRY BAG FROZEN</t>
  </si>
  <si>
    <t>12/16 OZ</t>
  </si>
  <si>
    <t>YOGURT, PLAIN GREEK ALL NATURAL FAT-FREE RBST FREE TUB REF (ALT # 50031)</t>
  </si>
  <si>
    <t>6/32 OZ</t>
  </si>
  <si>
    <t>YOGURT, VANILLA GREEK FAT-FREE RBST FREE TUB REF (ALT # 50031)</t>
  </si>
  <si>
    <t>Egg</t>
  </si>
  <si>
    <t>EGG, HARD COOKED PEELED WHOLE REF BRINE PACK PAIL (ALT # 50031)</t>
  </si>
  <si>
    <t>25 LB</t>
  </si>
  <si>
    <t>EGG, LIQUID WHOLE PASTEURIZED BAG REF (ALT # 50031)</t>
  </si>
  <si>
    <t>2/20 LB</t>
  </si>
  <si>
    <t>EGG, SHELL LARGE WHITE PASTEURIZED LOOSE PACK FRESH GRADE AA (ALT # 50031)</t>
  </si>
  <si>
    <t>15 DZ</t>
  </si>
  <si>
    <t xml:space="preserve"> $Full </t>
  </si>
  <si>
    <t>Bread</t>
  </si>
  <si>
    <t>9IN PITA SYSCO</t>
  </si>
  <si>
    <t>10/10ea</t>
  </si>
  <si>
    <t>BREAD, FLAT NAAN 4.25X5.75" OVAL BAKED FROZEN MINI (ALT # 50061)</t>
  </si>
  <si>
    <t>CHEF'S LINE</t>
  </si>
  <si>
    <t>8/8/1.58 OZ</t>
  </si>
  <si>
    <t>BREAD, FLAT NAAN TANDOORI 4.4 OZ TEARDROP BAKED FROZEN (ALT # 50061)</t>
  </si>
  <si>
    <t>6/8/4.4 OZ</t>
  </si>
  <si>
    <t>BREAD, PITA WHITE HANDMADE 6" FROZEN</t>
  </si>
  <si>
    <t>KRONOS CENTRAL PRODUCT</t>
  </si>
  <si>
    <t>12/10 EA</t>
  </si>
  <si>
    <t>BREAD, PITA WRAP PLAIN 9" UNSLICED FROZEN</t>
  </si>
  <si>
    <t>CORFU</t>
  </si>
  <si>
    <t>8/10 EA</t>
  </si>
  <si>
    <t xml:space="preserve"> Call For Price </t>
  </si>
  <si>
    <t>BREAD, WHITE 12.5" 15 SLICED 3/4" LOAF FROZEN OPEN TOP TEXAS TOAST</t>
  </si>
  <si>
    <t>ROTELLA'S ITALIAN BAKERY</t>
  </si>
  <si>
    <t>6/28.32 OZ</t>
  </si>
  <si>
    <t>BREAD, WHITE 4.25X4.5" 17 SLICED 3/4" LOAF BAKED FROZEN TEXAS TOAST (ALT # 50061)</t>
  </si>
  <si>
    <t>10/24 OZ</t>
  </si>
  <si>
    <t>BREAD, WHITE 7.5" 14 SLICED 1/2" LOAF GLUTEN-FREE BAKED FROZEN (ALT # 50061)</t>
  </si>
  <si>
    <t>UDI'S</t>
  </si>
  <si>
    <t>6/24 OZ</t>
  </si>
  <si>
    <t>BREADSTICK, FRENCH 7.5" UNSLICED PARBAKED FROZEN (ALT # 50061)</t>
  </si>
  <si>
    <t>SIGNATURE BREADS</t>
  </si>
  <si>
    <t>170/1.5 OZ</t>
  </si>
  <si>
    <t>BRIOCHE 4.5IN FSA</t>
  </si>
  <si>
    <t>STONE GROU</t>
  </si>
  <si>
    <t>6/12EA</t>
  </si>
  <si>
    <t>BUN, HAMBURGER WHITE SEEDED 3.8" SLICED GLUTEN-FREE BAKED IW FROZEN</t>
  </si>
  <si>
    <t>30/3.5 OZ</t>
  </si>
  <si>
    <t>BUN, HAMBURGER WHOLE WHEAT 4.25" HINGED SLICED BAKED FROZEN</t>
  </si>
  <si>
    <t>GASTON'S BAKERY</t>
  </si>
  <si>
    <t>6/10/3 OZ</t>
  </si>
  <si>
    <t>BUN, HOT DOG WHITE 6" SLICED TFF BAKED FROZEN (ALT # 50061)</t>
  </si>
  <si>
    <t>8/12/1.7 OZ</t>
  </si>
  <si>
    <t>CROISSANT, BUTTER 3 OZ TFF UNSLICED BAKED LARGE TRAY PACK FROZEN (ALT # 50061)</t>
  </si>
  <si>
    <t>32/3 OZ</t>
  </si>
  <si>
    <t>DOUGH, BREAD DARK BAVARIAN DEMI LOAF FROZEN (ALT # 50061)</t>
  </si>
  <si>
    <t>BRIDGFORD</t>
  </si>
  <si>
    <t>60/6 OZ</t>
  </si>
  <si>
    <t>DOUGH, BREAD HONEY WHEAT DEMI LOAF FROZEN (ALT # 50061)</t>
  </si>
  <si>
    <t>DOUGH, BREAD WHITE DEMI LOAF FROZEN (ALT # 50061)</t>
  </si>
  <si>
    <t>DOUGH, CROISSANT BUTTER 2.75 OZ PINCHED UNPROOFED FROZEN (ALT # 50061)</t>
  </si>
  <si>
    <t>PILLSBURY</t>
  </si>
  <si>
    <t>120/2.75 OZ</t>
  </si>
  <si>
    <t>DOUGH, PIZZA CRUST 16" PAN SHEETED FROZEN</t>
  </si>
  <si>
    <t>20/26 OZ</t>
  </si>
  <si>
    <t>96/5.5 OZ</t>
  </si>
  <si>
    <t>ENGLISH MUFFIN, PLAIN 3 OZ BAKED FROZEN FORKSPLIT</t>
  </si>
  <si>
    <t>BURRY FOODS</t>
  </si>
  <si>
    <t>48/3 OZ</t>
  </si>
  <si>
    <t>PIZZA CRUST PRBK GLUTEN FREE</t>
  </si>
  <si>
    <t>RICHS</t>
  </si>
  <si>
    <t>24EA</t>
  </si>
  <si>
    <t>ROLL, BRIOCHE 2.5" SLICED BAKED FROZEN SLIDER BUN</t>
  </si>
  <si>
    <t>TURANO</t>
  </si>
  <si>
    <t>12/18/1.2 OZ</t>
  </si>
  <si>
    <t>ROLL, BRIOCHE 4.5" ROUND SLICED BAKED FROZEN BUN (ALT # 50061)</t>
  </si>
  <si>
    <t>8/10/3.5 OZ</t>
  </si>
  <si>
    <t>ROLL, CIABATTA WHITE 4" SQUARE SLICED PARBAKED FROZEN</t>
  </si>
  <si>
    <t>60/3 OZ</t>
  </si>
  <si>
    <t>ROLL, HOAGIE SWEET CORN 6.25" SLICED BAKED FROZEN</t>
  </si>
  <si>
    <t>HILLTOP HEARTH PREMIUM</t>
  </si>
  <si>
    <t>9/6 EA</t>
  </si>
  <si>
    <t>ROLL, HOAGIE WHITE W/ GARLIC PARMESAN TOP 8" HINGE SLICED BAKED FROZEN SUBM (ALT # 50061)</t>
  </si>
  <si>
    <t>STONE GROUND BAKERY</t>
  </si>
  <si>
    <t>9/6/4.44 OZ</t>
  </si>
  <si>
    <t>ROLL, TELERA WHITE 3.75X4.75" SLICED PARBAKED FROZEN</t>
  </si>
  <si>
    <t>LA BREA BAKERY</t>
  </si>
  <si>
    <t>96/3.5 OZ</t>
  </si>
  <si>
    <t>Frozen Baked Goods</t>
  </si>
  <si>
    <t>CHEESECAKE, PLAIN CREAM STYLE 10" 16 SLICED FROZEN VANILLA CAKE</t>
  </si>
  <si>
    <t>JON DONAIRE</t>
  </si>
  <si>
    <t>4/64 OZ</t>
  </si>
  <si>
    <t>Danish Dough FSA</t>
  </si>
  <si>
    <t>120/1.5oz</t>
  </si>
  <si>
    <t>DANISH, ASSORTED 1.3 OZ BAKED TRAY PACK FROZEN DEMI (ALT # 50061)</t>
  </si>
  <si>
    <t>CHEF PIERRE</t>
  </si>
  <si>
    <t>5/10/1.3 OZ</t>
  </si>
  <si>
    <t>Dough Bar Bry 3oz Sysco</t>
  </si>
  <si>
    <t>60/3oz</t>
  </si>
  <si>
    <t>Dough bar Trail Mix</t>
  </si>
  <si>
    <t>DOUGH, COOKIE BUTTER SUGAR FROZEN</t>
  </si>
  <si>
    <t>OTIS SPUNKMEYER SWEET DISCOVERY</t>
  </si>
  <si>
    <t>240/1.33 OZ</t>
  </si>
  <si>
    <t>DOUGH, COOKIE CARAMEL SALTED CRUNCH 3 OZ FROZEN (ALT # 50061)</t>
  </si>
  <si>
    <t>SWEET STREET</t>
  </si>
  <si>
    <t>7/12/3 OZ</t>
  </si>
  <si>
    <t>DOUGH, COOKIE CHOCOLATE CHIP 1 OZ FROZEN</t>
  </si>
  <si>
    <t>HARVEST VALUE</t>
  </si>
  <si>
    <t>320/1 OZ</t>
  </si>
  <si>
    <t>DOUGH, COOKIE CHOCOLATE CHIP ECONOMY FROZEN</t>
  </si>
  <si>
    <t>OTIS SPUNKMEYER VALUE ZONE</t>
  </si>
  <si>
    <t>DOUGH, COOKIE CHOCOLATE CHUNK 2 OZ TFF FROZEN (ALT # 50061)</t>
  </si>
  <si>
    <t>BEST MAID COOKIE COMPANY</t>
  </si>
  <si>
    <t>180/2 OZ</t>
  </si>
  <si>
    <t>DOUGH, COOKIE CHOCOLATE CHUNK 3 OZ FROZEN (ALT # 50061)</t>
  </si>
  <si>
    <t>OTIS SPUNKMEYER SUPREME INDULGENCE</t>
  </si>
  <si>
    <t>4/26/3 OZ</t>
  </si>
  <si>
    <t>DOUGH, COOKIE CHOCOLATE CHUNK W/ PRETZEL 3 OZ FROZEN (ALT # 50061)</t>
  </si>
  <si>
    <t>DOUGH, COOKIE DOUBLE CHOCOLATE CHUNK 3 OZ FROZEN</t>
  </si>
  <si>
    <t>104/3 OZ</t>
  </si>
  <si>
    <t>DOUGH, COOKIE DOUBLE CHOCOLATE CHUNK 3 OZ FROZEN HOMESTYLE DARK BATTER</t>
  </si>
  <si>
    <t>HOPE'S COUNTRY FRESH COOKIES</t>
  </si>
  <si>
    <t>106/3 OZ</t>
  </si>
  <si>
    <t>DOUGH, COOKIE LEMON 3 OZ FROZEN COOLER GOURMET</t>
  </si>
  <si>
    <t>DOUGH, COOKIE LEMON-BLUEBERRY</t>
  </si>
  <si>
    <t>SWEET STRE</t>
  </si>
  <si>
    <t>84/ 3OZ</t>
  </si>
  <si>
    <t>DOUGH, COOKIE OATMEAL CRANBERRY APPLE 3 OZ FROZEN</t>
  </si>
  <si>
    <t>CHRISTIE COOKIE CO</t>
  </si>
  <si>
    <t>80/3 OZ</t>
  </si>
  <si>
    <t>DOUGH, COOKIE OATMEAL RAISIN 2 OZ TFF FROZEN (ALT # 50061)</t>
  </si>
  <si>
    <t>DOUGH, COOKIE OATMEAL RAISIN ECONOMY FROZEN</t>
  </si>
  <si>
    <t>DOUGH, COOKIE PEANUT BUTTER 2 OZ TFF FROZEN (ALT # 50061)</t>
  </si>
  <si>
    <t>DOUGH, COOKIE PEANUT BUTTER CHOCOLATE CHUNK 3 OZ FROZEN</t>
  </si>
  <si>
    <t>DOUGH, COOKIE PEANUT BUTTER ECONOMY FROZEN</t>
  </si>
  <si>
    <t>DOUGH, COOKIE SNICKERDOODLE</t>
  </si>
  <si>
    <t>84/3OZ</t>
  </si>
  <si>
    <t>DOUGH, COOKIE SUGAR ECONOMY FROZEN (ALT # 50061)</t>
  </si>
  <si>
    <t>DOUGH, COOKIE WHITE CHOCOLATE CHUNK MACADAMIA NUT 2 OZ TFF FROZEN (ALT # 50061)</t>
  </si>
  <si>
    <t>DOUGH, DANISH ASSORTED MINI PRE-PROOFED FROZEN (ALT # 50061)</t>
  </si>
  <si>
    <t>BEL PASTRY</t>
  </si>
  <si>
    <t>5/24/1.48 OZ</t>
  </si>
  <si>
    <t>DOUGH, PHYLLO CARTON FROZEN 14X18 SHEET</t>
  </si>
  <si>
    <t>ATHENS</t>
  </si>
  <si>
    <t>DOUGH, PUFF PASTRY 5" SQUARE TFF FROZEN</t>
  </si>
  <si>
    <t>ORANGE BAKERY</t>
  </si>
  <si>
    <t>108/2.2 OZ</t>
  </si>
  <si>
    <t>DOUGH, ROLL CINNAMON FROZEN</t>
  </si>
  <si>
    <t>RICH'S</t>
  </si>
  <si>
    <t>84/4 OZ</t>
  </si>
  <si>
    <t>SCONES</t>
  </si>
  <si>
    <t>HERITAGE</t>
  </si>
  <si>
    <t>4 DZ</t>
  </si>
  <si>
    <t>SHELL, CREPE PLAIN 6"</t>
  </si>
  <si>
    <t>LADY ASTER</t>
  </si>
  <si>
    <t>12/25/.75 OZ</t>
  </si>
  <si>
    <t>SHELL, PIE 10" RAW FROZEN (ALT # 50061)</t>
  </si>
  <si>
    <t>DEVONSHIRE</t>
  </si>
  <si>
    <t>4/5/8 OZ</t>
  </si>
  <si>
    <t>SHELL, TART UNSWEETENED 3" FROZEN (ALT # 50061)</t>
  </si>
  <si>
    <t>LBA</t>
  </si>
  <si>
    <t>240 EA</t>
  </si>
  <si>
    <t>STRUDEL, STRAWBERRY CREAM CHEESE FILLED 2.75 OZ STICK RAW FROZEN BULK (ALT # 50061)</t>
  </si>
  <si>
    <t>96/2.75 OZ</t>
  </si>
  <si>
    <t>TURNOVER, APPLE FILLED 3.7 OZ RAW FROZEN LAYER PACK (ALT # 50061)</t>
  </si>
  <si>
    <t>60/3.7 OZ</t>
  </si>
  <si>
    <t>Frozen Fruit</t>
  </si>
  <si>
    <t>BLUEBERRY, WILD DOMESTIC IQF FROZEN (ALT # 50061)</t>
  </si>
  <si>
    <t>MONARCH</t>
  </si>
  <si>
    <t>CRANBERRY, WHOLE DOMESTIC IQF FROZEN</t>
  </si>
  <si>
    <t>MANGO DCD IQF FSA</t>
  </si>
  <si>
    <t>FLAVR PA</t>
  </si>
  <si>
    <t>MANGO, HALF IQF FROZEN</t>
  </si>
  <si>
    <t>24 EA</t>
  </si>
  <si>
    <t>MANGO, PIECE IMPORTED MEXICO IQF FROZEN (ALT # 50061)</t>
  </si>
  <si>
    <t>20 LB</t>
  </si>
  <si>
    <t>PEACH, DICED 3/8" IQF FROZEN</t>
  </si>
  <si>
    <t>DOLE PACKAGED</t>
  </si>
  <si>
    <t>RASPBERRY, RED IMPORTED &amp; DOMESTIC IQF FROZEN</t>
  </si>
  <si>
    <t>RASPBERRY, RED PIECE IQF FROZEN</t>
  </si>
  <si>
    <t>STRAWBERRY, WHOLE &amp; PIECE IQF FROZEN</t>
  </si>
  <si>
    <t>Frozen Veggies</t>
  </si>
  <si>
    <t>BEAN, GREEN HARICOT VERT WHOLE 1 SIEVE FANCY IMPORTED CANADA IQF FROZEN PRE</t>
  </si>
  <si>
    <t>6/4 LB</t>
  </si>
  <si>
    <t>BEAN, GREEN HARICOT VERT WHOLE EXTRA FINE IMPORTED FRANCE IQF FROZEN (ALT # 50061)</t>
  </si>
  <si>
    <t>WHITE TOQUE</t>
  </si>
  <si>
    <t>10/2.2 LB</t>
  </si>
  <si>
    <t>CARROT, BABY WHOLE FANCY FROZEN</t>
  </si>
  <si>
    <t>12/2 LB</t>
  </si>
  <si>
    <t>CARROT, DICED 3/8" IQF FROZEN</t>
  </si>
  <si>
    <t>CORN ON COB, YELLOW SWEET 3" FANCY FROZEN</t>
  </si>
  <si>
    <t>96 EA</t>
  </si>
  <si>
    <t>OKRA, CUT IMPORTED FROZEN (ALT # 50061)</t>
  </si>
  <si>
    <t>12/3 LB</t>
  </si>
  <si>
    <t>PEA, GREEN IMPORTED &amp; DOMESTIC IQF FROZEN (ALT # 50061)</t>
  </si>
  <si>
    <t>PEA, SUGAR SNAP IMPORTED &amp; DOMESTIC IQF FROZEN</t>
  </si>
  <si>
    <t>SOYBEAN, EDAMAME SHELLED IMPORTED CHINA IQF FROZEN (ALT # 50061)</t>
  </si>
  <si>
    <t>6/2.5 LB</t>
  </si>
  <si>
    <t>SPINACH, CHOPPED GRADE A DOMESTIC FROZEN PILLOW PACK (ALT # 50061)</t>
  </si>
  <si>
    <t>Potato</t>
  </si>
  <si>
    <t>POTATO, CHUNK RANDOM SEASONED SKIN-ON TFF BATTERED BLANCHED FROZEN BITE (ALT # 50061)</t>
  </si>
  <si>
    <t>SEASONEDCRISP</t>
  </si>
  <si>
    <t>6/6 LB</t>
  </si>
  <si>
    <t>POTATO, FRENCH-FRY 1/4" WEDGE BATTERED TEMPURA IQF FROZEN (ALT # 50061)</t>
  </si>
  <si>
    <t>OLD ENGLISH STYLE CHIPS</t>
  </si>
  <si>
    <t>POTATO, FRENCH-FRY 3/4"X3/8" STEAK CUT SKIN-ON TFF EXTRA-LONG-FANCY FROZEN</t>
  </si>
  <si>
    <t>LW PRIVATE RESERVE</t>
  </si>
  <si>
    <t>POTATO, FRENCH-FRY 7/16" STRAIGHT-CUT COATED TFF EXTRA-LONG-FANCY FROZEN TH (ALT # 50061)</t>
  </si>
  <si>
    <t>STEALTH</t>
  </si>
  <si>
    <t>POTATO, FRENCH-FRY SPIRAL BATTERED TFF EXTRA-LONG-FANCY FROZEN MILD NORTHWE (ALT # 50061)</t>
  </si>
  <si>
    <t>POTATO, FRENCH-FRY SPIRAL COATED CLEAR SKIN-ON FROZEN SIDEWINDER</t>
  </si>
  <si>
    <t>SIMPLOT CONQUEST</t>
  </si>
  <si>
    <t>POTATO, FRENCH-FRY SWEET 1/4"X1/2" PLATTER CUT COATED TFF LONG FANCY FROZEN</t>
  </si>
  <si>
    <t>5/3 LB</t>
  </si>
  <si>
    <t>POTATO, FRENCH-FRY SWEET 1/4"X1/2" STRAIGHT-CUT FROZEN</t>
  </si>
  <si>
    <t>SIMPLOT SWEETS</t>
  </si>
  <si>
    <t>POTATO, FRENCH-FRY SWEET 3/8" STRAIGHT-CUT BATTERED SKIN-ON FROZEN HOUSE</t>
  </si>
  <si>
    <t>POTATO, FRENCH-FRY SWEET THIN WAFFLE CUT COATED FROZEN</t>
  </si>
  <si>
    <t>POTATO, FRENCH-FRY THIN WAFFLE CUT COATED FROZEN</t>
  </si>
  <si>
    <t>POTATO, HASH BROWN PATTY OVAL 2.25 OZ RAW FROZEN GOLDEN (ALT # 50061)</t>
  </si>
  <si>
    <t>ORE-IDA</t>
  </si>
  <si>
    <t>6/2.8125 LB</t>
  </si>
  <si>
    <t>POTATO, HASH BROWN SHRED IQF FROZEN (ALT # 50061)</t>
  </si>
  <si>
    <t>6/3 LB</t>
  </si>
  <si>
    <t>POTATO, SLICED 1/10" SKIN-ON RAW FROZEN CHIP (ALT # 50061)</t>
  </si>
  <si>
    <t>POTATO, SWEET TATER NUGGET TFF PARFRIED FROZEN MINI PUFF</t>
  </si>
  <si>
    <t>POTATO, TATER NUGGET TFF PARFRIED FROZEN GEM (ALT # 50061)</t>
  </si>
  <si>
    <t>TRADITIONAL</t>
  </si>
  <si>
    <t>POTATOES CUBE 1/2IN NTF</t>
  </si>
  <si>
    <t>FSA</t>
  </si>
  <si>
    <t>4/5lb</t>
  </si>
  <si>
    <t>Specialty</t>
  </si>
  <si>
    <t>TEMPEH, SOY BULK RAW 1 LB ASEPTIC FROZEN POUCH</t>
  </si>
  <si>
    <t>TOFURKY</t>
  </si>
  <si>
    <t>TORTELLINI, TRI COLOR PASTA COOKED IQF FROZEN RAINBOW (ALT # 50061)</t>
  </si>
  <si>
    <t>BERNARDI</t>
  </si>
  <si>
    <t>WRAPPER, DUMPLING 3.75" ROUND BAG FROZEN</t>
  </si>
  <si>
    <t>GOLDEN BOWL</t>
  </si>
  <si>
    <t>30/1 LB</t>
  </si>
  <si>
    <t>WRAPPER, SPRING ROLL 8"X8" FROZEN</t>
  </si>
  <si>
    <t>WEI-CHUAN</t>
  </si>
  <si>
    <t>40/11 OZ</t>
  </si>
  <si>
    <t>WRAPPER, SPRING ROLL RICE PAPER 8.7" ROUND IMPORTED VIETNAM BAG SHELF STABL</t>
  </si>
  <si>
    <t>THREE LADIES</t>
  </si>
  <si>
    <t>44/12 OZ</t>
  </si>
  <si>
    <t>WRAPPER, WONTON 3.5"X3.5" SQUARE BAG FROZEN</t>
  </si>
  <si>
    <t>PEKING NOODLE</t>
  </si>
  <si>
    <t>WRAPPER, WONTON MINI FROZEN 4"X4"</t>
  </si>
  <si>
    <t>GOLDEN TIGER</t>
  </si>
  <si>
    <t>YAKISOBA NOODLE FSA</t>
  </si>
  <si>
    <t>GLDN PHEAS</t>
  </si>
  <si>
    <t>RAVIOLI, SQUASH BUTTERNUT MEDIUM SQUARE PLAIN PASTA COOKED FROZEN</t>
  </si>
  <si>
    <t>POTSTICKER, CHICKEN VEGETABLE 1 OZ RAW FROZEN APPETIZER (ALT # 50061)</t>
  </si>
  <si>
    <t>PACIFIC JADE</t>
  </si>
  <si>
    <t>120/1 OZ</t>
  </si>
  <si>
    <t>NOODLE, YAKISOBA 16" COOKED FROZEN PASTA (ALT # 50061)</t>
  </si>
  <si>
    <t>FORTUNE BRAND</t>
  </si>
  <si>
    <t>NOODLES RAMEN FZ NAMA OCEAN BEAUTY</t>
  </si>
  <si>
    <t>SUN NOODLE</t>
  </si>
  <si>
    <t>1CS</t>
  </si>
  <si>
    <t>PASTA, LASAGNA RIBBED 8.75X11" SHEET RAW CURLY EDGE FROZEN</t>
  </si>
  <si>
    <t>MANGO, DICED 1/2" PAIL FRESH REF (ALT # 50051)</t>
  </si>
  <si>
    <t>CROSS VALLEY FARMS</t>
  </si>
  <si>
    <t>6 LB</t>
  </si>
  <si>
    <t>EGG ROLL, PORK &amp; VEGETABLE 1.5 OZ TFF COOKED FROZEN APPETIZER (ALT # 50061)</t>
  </si>
  <si>
    <t>144/1.5 OZ</t>
  </si>
  <si>
    <t>EGG ROLL, VEGETABLE 3 OZ TFF COOKED FROZEN APPETIZER (ALT # 50061)</t>
  </si>
  <si>
    <t>4/18/3 OZ</t>
  </si>
  <si>
    <t>EGGROLL PORK &amp; VEG FSA</t>
  </si>
  <si>
    <t>LOTUS GARD</t>
  </si>
  <si>
    <t>4/34CT</t>
  </si>
  <si>
    <t>Yield %</t>
  </si>
  <si>
    <t>OZ Yield</t>
  </si>
  <si>
    <t>Meat</t>
  </si>
  <si>
    <t>BACON, PORK 14-16 COUNT SHINGLE HARDWOOD SMOKED HONEY CURED RAW REF (ALT # 50021)</t>
  </si>
  <si>
    <t>THOMAS CUISINE MANAGEMENT</t>
  </si>
  <si>
    <t>BACON, PORK END &amp; PIECE DICED CURED RAW FROZEN BAG (ALT # 50021)</t>
  </si>
  <si>
    <t>FARMLAND</t>
  </si>
  <si>
    <t>BACON, PORK REAL END &amp; PIECE RANDOM HARDWOOD SMOKED RAW REF VACUUM-PACK BIT (ALT # 50021)</t>
  </si>
  <si>
    <t>DAILY'S PREMIUM MEATS</t>
  </si>
  <si>
    <t>8/3 LB</t>
  </si>
  <si>
    <t>BEEF SUB, PATTY BURGER MEATLESS BLACK BEAN RAW FROZEN (ALT # 50021)</t>
  </si>
  <si>
    <t>36/4.25 OZ</t>
  </si>
  <si>
    <t>BEEF SUB, PATTY MEATLESS BURGER BLACK BEAN COOKED FROZEN VEGETABLE</t>
  </si>
  <si>
    <t>GARDENBURGER</t>
  </si>
  <si>
    <t>4/12/3.4 OZ</t>
  </si>
  <si>
    <t>BEEF SUB, PATTY MEATLESS VEGETABLE 3 GRAIN COOKED FROZEN VEGGIE BURGER 4.25</t>
  </si>
  <si>
    <t>BEEF, BOTTOM SIRLOIN BUTT TRI TIP CHOICE 185D PEELED RAW REF (ALT # 50021)</t>
  </si>
  <si>
    <t>PACKER</t>
  </si>
  <si>
    <t>75 LBA</t>
  </si>
  <si>
    <t>BEEF, BOTTOM SIRLOIN BUTT TRI TIP CHOICE ANGUS 185C RAW REF</t>
  </si>
  <si>
    <t>STOCK YARDS ANGUS BEEF</t>
  </si>
  <si>
    <t>4/17 LBA</t>
  </si>
  <si>
    <t>BEEF, BRISKET CHOICE 120 DECKLE OFF RAW REF SMOKEHOUSE HEAVY</t>
  </si>
  <si>
    <t>IBP-IOWA BEEF PROCESSORS</t>
  </si>
  <si>
    <t>5/10 LB+</t>
  </si>
  <si>
    <t>BEEF, BRISKET FLAT CHOICE 120A RAW REF (ALT # 50021)</t>
  </si>
  <si>
    <t>12/5 LBA</t>
  </si>
  <si>
    <t>BEEF, FLANK STEAK 193 RAW REF (ALT # 50021)</t>
  </si>
  <si>
    <t>6/10 LBA</t>
  </si>
  <si>
    <t>BEEF, GROUND 80/20 MEDIUM NATURAL RAW FROZEN GRASS FED (ALT # 50021)</t>
  </si>
  <si>
    <t>STOCK YARDS</t>
  </si>
  <si>
    <t>BEEF, GROUND 81/19 FINE RAW REF CHUB (ALT # 50021)</t>
  </si>
  <si>
    <t>CATTLEMAN'S SELECTION</t>
  </si>
  <si>
    <t>8/10 LBA</t>
  </si>
  <si>
    <t>BEEF, GROUND CHUCK 80/20 ANGUS FINE RAW REF BULK</t>
  </si>
  <si>
    <t>BEEF, PATTY GROUND 80/20 4:1 WIDE .26" THICK RAW IQF FROZEN</t>
  </si>
  <si>
    <t>40/4 OZ</t>
  </si>
  <si>
    <t>BEEF, PHILLY FLAT RIBEYE RAW FROZEN 5 OZ TRADITIONAL SLICED SOLUTION ADDED (ALT # 50021)</t>
  </si>
  <si>
    <t>STEAK EZE</t>
  </si>
  <si>
    <t>32/5 OZ</t>
  </si>
  <si>
    <t>BEEF, RIBEYE 112A LIP-ON RAW REF (replaces 5271275)</t>
  </si>
  <si>
    <t>5/17.5 LBA</t>
  </si>
  <si>
    <t>BEEF, STEAK RIBEYE ROLL 1112 BONELESS SOLUTION ADDED 15% RAW FROZEN</t>
  </si>
  <si>
    <t>28/6 OZ</t>
  </si>
  <si>
    <t>BEEF, TOP INSIDE ROUND CAP-OFF CHOICE 169A RAW REF (ALT # 50021)</t>
  </si>
  <si>
    <t>4/11.75 LBA</t>
  </si>
  <si>
    <t>BISON, GROUND FINE 85/15 LOAF DOMESTIC RAW FROZEN VACUUM-PACK NATURAL</t>
  </si>
  <si>
    <t>BRATWURST, LINK PORK BEER 5.33 OZ 8.5" SKINLESS COOKED FROZEN GUINNESS SAUS</t>
  </si>
  <si>
    <t>ROSE PACKING</t>
  </si>
  <si>
    <t>Corned Beef</t>
  </si>
  <si>
    <t>GRASS FED BEEF PATTIES</t>
  </si>
  <si>
    <t>OCEAN BEAU</t>
  </si>
  <si>
    <t>1/20LB</t>
  </si>
  <si>
    <t>HAM, BONELESS BUFFET FLAT HWP 35% SMOKED HARDWOOD REF 1-DIAMOND PORK (ALT # 50021)</t>
  </si>
  <si>
    <t>PATUXENT FARMS</t>
  </si>
  <si>
    <t>2/9-11 LBA</t>
  </si>
  <si>
    <t>HAM, BONELESS PIT STYLE NATURAL-JUICE SMOKED REF VACUUM-PACK BLACK OAK PORK (ALT # 50021)</t>
  </si>
  <si>
    <t>HILLSHIRE/TYSON</t>
  </si>
  <si>
    <t>2/16 LBA</t>
  </si>
  <si>
    <t>HAM, CAPICOLA SMOKED COOKED REF PORK (ALT # 50021)</t>
  </si>
  <si>
    <t>2/5 LBA</t>
  </si>
  <si>
    <t>2/5.5 LBA</t>
  </si>
  <si>
    <t>HOT DOG, ALL-BEEF 4:1 6" ROLLER GRILL COOKED FROZEN (ALT # 50021)</t>
  </si>
  <si>
    <t>HOT DOG, ALL-BEEF 5:1 6" ROLLER GRILL COOKED FROZEN</t>
  </si>
  <si>
    <t>LAMB, GROUND DOMESTIC FROZEN</t>
  </si>
  <si>
    <t>LAMB, GROUND FROZEN 80/20 LEAN (ALT # 50021)</t>
  </si>
  <si>
    <t>SUMMIT CREEK LAMB</t>
  </si>
  <si>
    <t>LAMB, LEG 2-DIAMOND BONED-ROLLED-TIED AUSTRALIA (ALT # 50021)</t>
  </si>
  <si>
    <t>PEPPERONI, PORK BEEF STICK 3" DIAMETER COOKED REF VACUUM-PACK DELI SANDWICH (ALT # 50021)</t>
  </si>
  <si>
    <t>2/4 LBA</t>
  </si>
  <si>
    <t>PORK BUTT BNLS</t>
  </si>
  <si>
    <t>1-70#AVG</t>
  </si>
  <si>
    <t>PORK, BELLY UNSALTED SKINLESS UNSMOKED NATURAL REF IVP</t>
  </si>
  <si>
    <t>PATUXENT FARMS PREMIUM</t>
  </si>
  <si>
    <t>3/8 LBA</t>
  </si>
  <si>
    <t>PORK, BOSTON BUTT CELLAR TRIMMED BONELESS RAW REF BOX 407 (ALT # 50021)</t>
  </si>
  <si>
    <t>4/18.12 LBA</t>
  </si>
  <si>
    <t>PORK, GROUND 80/20 RAW FROZEN</t>
  </si>
  <si>
    <t>PORK, LOIN CC BACK-STRAP-OFF BONELESS RAW FRESH-TO-FROZEN 413</t>
  </si>
  <si>
    <t>SEABOARD FOODS</t>
  </si>
  <si>
    <t>5/8.15 LBA</t>
  </si>
  <si>
    <t>PORK, LOIN CC BACK-STRAP-OFF BONELESS RAW REF 413 (ALT # 50021)</t>
  </si>
  <si>
    <t>PRAIRIE FRESH</t>
  </si>
  <si>
    <t>PORK, LOIN CC BONELESS RAW REF 413</t>
  </si>
  <si>
    <t>6/7 LBA</t>
  </si>
  <si>
    <t>PORK, SHOULDER PICNIC CUSHION BONELESS RAW REF VACUUM-PACK</t>
  </si>
  <si>
    <t>6/5/2 LBA</t>
  </si>
  <si>
    <t>PORK, TENDERLOIN 1.25 LB RAW REF CVP 415</t>
  </si>
  <si>
    <t>6/2/1 LBA</t>
  </si>
  <si>
    <t>PRIME RIB - SYSCO MICRON LUNCHEON</t>
  </si>
  <si>
    <t>SALAMI, HARD PORK BEEF 1/2 STICK 6 LB DRY CURED REF (ALT # 50021)</t>
  </si>
  <si>
    <t>SAUSAGE, ANDOUILLE PORK BEEF ROPE SKINLESS SMOKED COOKED FROZEN (ALT # 50021)</t>
  </si>
  <si>
    <t>HILLSHIRE FARM</t>
  </si>
  <si>
    <t>11 LB</t>
  </si>
  <si>
    <t>EL PASADO</t>
  </si>
  <si>
    <t>SAUSAGE, ITALIAN HOT 4 OZ LINK PORK RAW FROZEN (ALT # 50021)</t>
  </si>
  <si>
    <t>SAUSAGE, POLISH ROPE NATURAL CASING COOKED PORK BEEF KIELBASA REF BAG</t>
  </si>
  <si>
    <t>SAUSAGE, PORK BULK RAW FROZEN BREAKFAST (ALT # 50021)</t>
  </si>
  <si>
    <t>FALLS BRAND</t>
  </si>
  <si>
    <t>SAUSAGE, PORK PATTY 1.5 OZ 3.25" COOKED IQF FROZEN BREAKFAST (ALT # 50021)</t>
  </si>
  <si>
    <t>JIMMY DEAN</t>
  </si>
  <si>
    <t>SAUSAGE, PORK TRIM LINK 2 OZ COLLAGEN CASING RAW FROZEN BREAKFAST (ALT # 50021)</t>
  </si>
  <si>
    <t>12 LB</t>
  </si>
  <si>
    <t>Poultry</t>
  </si>
  <si>
    <t>CHICKEN BREAST 50Z ANTIBOTIC FREE</t>
  </si>
  <si>
    <t>COLEMAN</t>
  </si>
  <si>
    <t>2/5LB</t>
  </si>
  <si>
    <t>Chicken Breast 6oz</t>
  </si>
  <si>
    <t>Red Bird</t>
  </si>
  <si>
    <t>CHICKEN, BREAST 4 OZ BREADED FRITTER HOT &amp; SPICY RAISED-W/O-ANTIBIOTICS RAW (ALT # 50021)</t>
  </si>
  <si>
    <t>TYSON RED LABEL</t>
  </si>
  <si>
    <t>2/20/4 OZ</t>
  </si>
  <si>
    <t>CHICKEN, BREAST AIRLINE SINGLE-LOBE 8 OZ BONE-IN SKIN-ON SOLUTION ADDED 15%</t>
  </si>
  <si>
    <t>TYSON</t>
  </si>
  <si>
    <t>CHICKEN, BREAST DOUBLE-LOBE RANDOM JUMBO BONELESS-SKINLESS RAW REF CVP (ALT # 50021)</t>
  </si>
  <si>
    <t>4/10 LB</t>
  </si>
  <si>
    <t>CHICKEN, CHUNK .75-1.25 OZ BATTERED BEER BREAST MEAT PARFRIED FROZEN (ALT # 50021)</t>
  </si>
  <si>
    <t>CHICKEN, QUARTER 60 COUNT BONE-IN SKIN-ON RAISED-W/O-ANTIBIOTICS RAW IQF FR</t>
  </si>
  <si>
    <t>31 LB</t>
  </si>
  <si>
    <t>CHICKEN, QUARTER LEG RANDOM SMALL BONE-IN SKIN-ON RAW REF CVP</t>
  </si>
  <si>
    <t>CHICKEN, TENDERLOIN BREADED MEDIUM SEASONED SOLUTION ADDED PARFRIED STRIP F (ALT # 50021)</t>
  </si>
  <si>
    <t>HERITAGE VALLEY</t>
  </si>
  <si>
    <t>CHICKEN, THIGH MEAT JUMBO BONELESS-SKINLESS RAW REF CVP (ALT # 50021)</t>
  </si>
  <si>
    <t>CHICKEN, WHOLE W/OGIB 14 HD 3-3.25 LB BONE-IN SKIN-ON RAW REF CVP (ALT # 50021)</t>
  </si>
  <si>
    <t>14/3-3.25#A</t>
  </si>
  <si>
    <t>CORN DOG, TURKEY HONEY BATTER 4:1 COOKED FROZEN W/ STICK (ALT # 50021)</t>
  </si>
  <si>
    <t>FOSTER FARMS</t>
  </si>
  <si>
    <t>72/4 OZ</t>
  </si>
  <si>
    <t>GROUND TURKEY</t>
  </si>
  <si>
    <t>2/10#</t>
  </si>
  <si>
    <t>JENNIE-O TURKEY STORE</t>
  </si>
  <si>
    <t>2/10 LBA</t>
  </si>
  <si>
    <t>Seafood</t>
  </si>
  <si>
    <t>CATFISH, 7-9 OZ FILLET BONELESS RAW FROZEN USA</t>
  </si>
  <si>
    <t>CLAM, MEAT BABY 300-500 COUNT NATURAL JUICE FROZEN PILLOW PACK IMPORTED CHI</t>
  </si>
  <si>
    <t>PANAPESCA</t>
  </si>
  <si>
    <t>10/1 LB</t>
  </si>
  <si>
    <t>CLAM, SURF CHOPPED RAW FROZEN USA WILD (ALT # 50021)</t>
  </si>
  <si>
    <t>SEA WATCH</t>
  </si>
  <si>
    <t>COD, BATTERED BEER ALASKAN WHITE ALE 2 OZ FILLET RAW IQF FROZEN USA WILD MS (ALT # 50021)</t>
  </si>
  <si>
    <t>HARBOR BANKS</t>
  </si>
  <si>
    <t>COD, PACIFIC 5 OZ LOIN BONELESS-SKINLESS RAW TWICE FROZEN TREATED IMPORTED (ALT # 50021)</t>
  </si>
  <si>
    <t>HARBOR BANKS-T</t>
  </si>
  <si>
    <t>GROUND AHI TUNA</t>
  </si>
  <si>
    <t>HAMACHI, YELLOWTAIL</t>
  </si>
  <si>
    <t>MAHI MAHI, 4 OZ PORTION BONELESS-SKINLESS RAW FROZEN VACUUM-PACK IMPORTED W</t>
  </si>
  <si>
    <t>MUSSEL, BLUE 23-29 COUNT IN SHELL COOKED IQF FROZEN VACUUM-PACK IMPORTED CH (ALT # 50021)</t>
  </si>
  <si>
    <t>OYSTER, SHUCKED SMALL</t>
  </si>
  <si>
    <t>1QT</t>
  </si>
  <si>
    <t>POLLOCK, BATTERED BEER 2-3 OZ OVEN READY FROZEN (ALT # 50021)</t>
  </si>
  <si>
    <t>BLUEWATER/HARBOR BANKS</t>
  </si>
  <si>
    <t>SALMON, ATLANTIC FRESH</t>
  </si>
  <si>
    <t>SALMON, KETA 4 OZ FILLET BONELESS-SKINLESS RAW IQF FROZEN VACUUM-PACK USA W (ALT # 50021)</t>
  </si>
  <si>
    <t>SHRIMP, BATTERED BEER ALE RAW 31-35 ROUND DEVEINED TAIL-OFF IMPORTED FARMED</t>
  </si>
  <si>
    <t>SHRIMP, RAW 16-20 WHITE PEELED-&amp;-DEVEINED TAIL-ON IQF FROZEN IMPORTED ASIA</t>
  </si>
  <si>
    <t>5/2 LB</t>
  </si>
  <si>
    <t>SHRIMP, RAW 26-30 RED PEELED-&amp;-DEVEINED TAIL-OFF IQF FROZEN IMPORTED ARGENT (ALT # 50021)</t>
  </si>
  <si>
    <t>SHRIMP, RAW 26-30 WHITE PEELED-&amp;-DEVEINED TAIL-OFF IQF FROZEN IMPORTED ASIA</t>
  </si>
  <si>
    <t>SHRIMP, RAW 41-50 WHITE PEELED-&amp;-DEVEINED TAIL-OFF IQF FROZEN IMPORTED ASIA</t>
  </si>
  <si>
    <t>SOCKEYE, WILD TAIL</t>
  </si>
  <si>
    <t>OCEANBEAU</t>
  </si>
  <si>
    <t>TILAPIA, 5-7 OZ FILLET BONELESS DEEP SKINNED RAW IQF FROZEN BULK IMPORTED M</t>
  </si>
  <si>
    <t>HARBOR BANKS-D</t>
  </si>
  <si>
    <t>TROUT R RBW FLT NAT FS SO</t>
  </si>
  <si>
    <t>TUNA YELLOWFIN LOIN</t>
  </si>
  <si>
    <t>2 # PLUS</t>
  </si>
  <si>
    <t>TUNA YK POKE CUBE FZ</t>
  </si>
  <si>
    <t>TUNA, 4 OZ STEAK RAW FROZEN</t>
  </si>
  <si>
    <t>TUNA, AHI POKE DICED</t>
  </si>
  <si>
    <t>4/2.5LB</t>
  </si>
  <si>
    <t>TUNA, LIGHT SKIPJACK FLAKE POUCH IMPORTED SHELF STABLE (ALT # 50011)</t>
  </si>
  <si>
    <t>CHICKEN OF THE SEA INTERNATIONAL</t>
  </si>
  <si>
    <t>6/43 OZ</t>
  </si>
  <si>
    <t>TUNA, YELLOWFIN 4 OZ STEAK BONELESS-SKINLESS RAW FROZEN IVP TREATED IMPORTE</t>
  </si>
  <si>
    <t>RED CRAB</t>
  </si>
  <si>
    <t>X</t>
  </si>
  <si>
    <t>BEEF FZ TONGUE</t>
  </si>
  <si>
    <t>OCEANBEAUTY</t>
  </si>
  <si>
    <t>BONE, BEEF MARROW SPLIT 5.5-7.5" 134 RAW FROZEN 16 COUNT</t>
  </si>
  <si>
    <t>10 LBS</t>
  </si>
  <si>
    <t>BONE, CHICKEN BREAST</t>
  </si>
  <si>
    <t>40LBS</t>
  </si>
  <si>
    <t>BONE, PORK FEMUR</t>
  </si>
  <si>
    <t>BONE, PORK NECK WHOLE RAW RAISED-W/O-ANTIBIOTICS FROZEN</t>
  </si>
  <si>
    <t>BEELERS</t>
  </si>
  <si>
    <t>30 LB</t>
  </si>
  <si>
    <t>BONE, PORK WHOLE RAW REF</t>
  </si>
  <si>
    <t>DUCK, WHOLE A GRADE</t>
  </si>
  <si>
    <t>MAPLE LEAF FARMS</t>
  </si>
  <si>
    <t>6/4.5-5 LBA</t>
  </si>
  <si>
    <t>KNOCKWURST</t>
  </si>
  <si>
    <t>CS/EA</t>
  </si>
  <si>
    <t>Produce</t>
  </si>
  <si>
    <t>APPLE FUJI XFCY PREMIUM 80/88CT</t>
  </si>
  <si>
    <t>1 CNT</t>
  </si>
  <si>
    <t>APPLE GALA XFCY PREMIUM 80/88CT</t>
  </si>
  <si>
    <t>APPLE GR SMITH XFCY</t>
  </si>
  <si>
    <t>8/5LB</t>
  </si>
  <si>
    <t>48 EA</t>
  </si>
  <si>
    <t>BANANA, TURN FRESH REF</t>
  </si>
  <si>
    <t>40 LB</t>
  </si>
  <si>
    <t>BEETS TOPPED SACK</t>
  </si>
  <si>
    <t>BLACKBERRIES 6Z</t>
  </si>
  <si>
    <t>DRISCOLL</t>
  </si>
  <si>
    <t>12 EA</t>
  </si>
  <si>
    <t>BLUEBERRIES 6Z</t>
  </si>
  <si>
    <t>BROCCOLI FLORRETS SALAD BAR</t>
  </si>
  <si>
    <t>SNOBOY</t>
  </si>
  <si>
    <t>4/3 LB</t>
  </si>
  <si>
    <t>CABBAGE SHREDDED W/ SEP COLOR</t>
  </si>
  <si>
    <t>CABBAGE, NAPPA</t>
  </si>
  <si>
    <t>5 LB</t>
  </si>
  <si>
    <t>CARROTS DICED</t>
  </si>
  <si>
    <t>GRIMMWAY</t>
  </si>
  <si>
    <t>CARROTS JUMBO</t>
  </si>
  <si>
    <t>CUCUMBERS 6-7 TOP</t>
  </si>
  <si>
    <t>1 LUG</t>
  </si>
  <si>
    <t>EGGPLANT 18 CT</t>
  </si>
  <si>
    <t>18 EA</t>
  </si>
  <si>
    <t>GRAPES RED SDLS</t>
  </si>
  <si>
    <t>LUG</t>
  </si>
  <si>
    <t>HERB GINGER ROOT</t>
  </si>
  <si>
    <t>2 LB</t>
  </si>
  <si>
    <t>1 LB</t>
  </si>
  <si>
    <t>1 OZ</t>
  </si>
  <si>
    <t>4/1 LB</t>
  </si>
  <si>
    <t>HERBS DILL BAG</t>
  </si>
  <si>
    <t>4 OZ</t>
  </si>
  <si>
    <t>HERBS FENNEL</t>
  </si>
  <si>
    <t>HERBS MINT</t>
  </si>
  <si>
    <t>6 EA</t>
  </si>
  <si>
    <t>HERBS ROSEMARY FRSH</t>
  </si>
  <si>
    <t>HERBS SAGE</t>
  </si>
  <si>
    <t>HERBS SHALLOTS WHL PEELED</t>
  </si>
  <si>
    <t>CHRISRANCH</t>
  </si>
  <si>
    <t>HERBS TARRAGON</t>
  </si>
  <si>
    <t>KALE CLND/TRMD GRN</t>
  </si>
  <si>
    <t>LEMONS CHOICE</t>
  </si>
  <si>
    <t>PACIFIC COAST P</t>
  </si>
  <si>
    <t>TAYLOR FARMS</t>
  </si>
  <si>
    <t>1 CTN</t>
  </si>
  <si>
    <t>LETTUCE ICEBERG TRIM FOODSERVICE BAG</t>
  </si>
  <si>
    <t>4/6 CT</t>
  </si>
  <si>
    <t>HD</t>
  </si>
  <si>
    <t>LETTUCE ROM LINER</t>
  </si>
  <si>
    <t>LETTUCE SALAD ARCADIAN</t>
  </si>
  <si>
    <t xml:space="preserve">LIMES </t>
  </si>
  <si>
    <t>MELON CANTALOUPE</t>
  </si>
  <si>
    <t>MELON HONEYDEW</t>
  </si>
  <si>
    <t>MELON WATERMELON SDLS</t>
  </si>
  <si>
    <t>1 EA</t>
  </si>
  <si>
    <t>MUSHROOM CRIMINI</t>
  </si>
  <si>
    <t>MUSHROOM MATURE SLCD</t>
  </si>
  <si>
    <t>CHAMPS</t>
  </si>
  <si>
    <t>MUSHROOM PORTABELLA MEDIUM</t>
  </si>
  <si>
    <t>50 LB</t>
  </si>
  <si>
    <t>ONIONS GREEN ICELESS</t>
  </si>
  <si>
    <t>4/2LB</t>
  </si>
  <si>
    <t>ORANGE FANCY 88CT US</t>
  </si>
  <si>
    <t>PEPPER, BELL YELLOW</t>
  </si>
  <si>
    <t>22-28 LB</t>
  </si>
  <si>
    <t xml:space="preserve">PEPPERS GRN BELL </t>
  </si>
  <si>
    <t>PEPPERS Habanero Fresh ref</t>
  </si>
  <si>
    <t>Peppers Poblano</t>
  </si>
  <si>
    <t>PEPPERS RED BELL CH</t>
  </si>
  <si>
    <t>PINEAPPLE TROPICAL GLD</t>
  </si>
  <si>
    <t>DOLE</t>
  </si>
  <si>
    <t>POTATOES RED "B"</t>
  </si>
  <si>
    <t>POTATOES RUSSET BAKER 70 CT</t>
  </si>
  <si>
    <t>POTATOES YUKON GOLDS</t>
  </si>
  <si>
    <t>RASPBERRIES 12 CT</t>
  </si>
  <si>
    <t>12 PT</t>
  </si>
  <si>
    <t>SPINACH CLND/TRIMMED</t>
  </si>
  <si>
    <t>SPROUTS BEAN BAG</t>
  </si>
  <si>
    <t>SQUASH BUTTERNUT</t>
  </si>
  <si>
    <t>SQUASH YELLOW</t>
  </si>
  <si>
    <t>SQUASH ZUCCHINI</t>
  </si>
  <si>
    <t>STRAWBERRIES</t>
  </si>
  <si>
    <t>8/1 LB</t>
  </si>
  <si>
    <t>TOFU VACPAK XFIRM</t>
  </si>
  <si>
    <t>WESTSOY</t>
  </si>
  <si>
    <t>6/14 OZ</t>
  </si>
  <si>
    <t>60CNT</t>
  </si>
  <si>
    <t>TOMATOES GRP RED BULK</t>
  </si>
  <si>
    <t>TOMATOES ROMA BULK</t>
  </si>
  <si>
    <t>YAMS JUMBO</t>
  </si>
  <si>
    <t>Base</t>
  </si>
  <si>
    <t>BASE, BEEF PASTE NO MSG SHELF STABLE PAIL SOUP (ALT # 50011)</t>
  </si>
  <si>
    <t>MOLLY'S KITCHEN</t>
  </si>
  <si>
    <t>2/10 LB</t>
  </si>
  <si>
    <t>BASE, CHICKEN PASTE NO MSG SHELF STABLE PAIL SOUP (ALT # 50011)</t>
  </si>
  <si>
    <t>BASE, CLAM PASTE NO MSG SHELF STABLE PLASTIC SOUP (ALT # 50011)</t>
  </si>
  <si>
    <t>CUSTOM CULINARY GOLD LABEL</t>
  </si>
  <si>
    <t>6/1 LB</t>
  </si>
  <si>
    <t>BASE, VEGETABLE</t>
  </si>
  <si>
    <t>CASH &amp; CAR</t>
  </si>
  <si>
    <t>1EA</t>
  </si>
  <si>
    <t>COT HU TIEU PORK BASE</t>
  </si>
  <si>
    <t>BASE, LOBSTER NO MSG GLUTEN-FREE REF</t>
  </si>
  <si>
    <t>MINOR'S</t>
  </si>
  <si>
    <t>BASE, MISO PASTE REF SOUP WHITE</t>
  </si>
  <si>
    <t>MARUKOME</t>
  </si>
  <si>
    <t>22 LB</t>
  </si>
  <si>
    <t>BASE, VEGETABLE PASTE SHELF STABLE JAR SOUP (ALT # 50011)</t>
  </si>
  <si>
    <t>FLAVORING, CHILI ANCHO PASTE BASE CONCENTRATE TUB REF (ALT # 50061)</t>
  </si>
  <si>
    <t>6/14.4 OZ</t>
  </si>
  <si>
    <t>Bean</t>
  </si>
  <si>
    <t>BEAN, BLACK TURTLE DRIED WASHED (ALT # 50011)</t>
  </si>
  <si>
    <t>BEAN, GARBANZO DRIED RAW (ALT # 50011)</t>
  </si>
  <si>
    <t>BEAN, GREAT NORTHERN DRIED RAW</t>
  </si>
  <si>
    <t>BEAN, KIDNEY LIGHT RED DRIED RAW (ALT # 50011)</t>
  </si>
  <si>
    <t>BEAN, PINTO DRIED WASHED (ALT # 50011)</t>
  </si>
  <si>
    <t>BEAN, WHITE SMALL DRIED RAW (ALT # 50011)</t>
  </si>
  <si>
    <t>LENTIL, DRIED RAW BEAN (ALT # 50011)</t>
  </si>
  <si>
    <t>PEA, GREEN SPLIT DRY RAW (ALT # 50011)</t>
  </si>
  <si>
    <t>C&amp;F FOODS</t>
  </si>
  <si>
    <t>PEAS, DRIED BLACK EYED</t>
  </si>
  <si>
    <t>25LB</t>
  </si>
  <si>
    <t>Canned Goods</t>
  </si>
  <si>
    <t>ANCHOVY, FILLET FLAT IN OIL IMPORTED MOROCCO REF (ALT # 50011)</t>
  </si>
  <si>
    <t>DUET</t>
  </si>
  <si>
    <t>25/2 OZ</t>
  </si>
  <si>
    <t>ARTICHOKE, HEART QUARTER CANNED IMPORTED (ALT # 50011)</t>
  </si>
  <si>
    <t>6/3 KG</t>
  </si>
  <si>
    <t>BAMBOO SHOOT, STRIP CANNED IMPORTED THAILAND WATER (ALT # 50011)</t>
  </si>
  <si>
    <t>JACKPOT</t>
  </si>
  <si>
    <t>6/#10 CN</t>
  </si>
  <si>
    <t>CAPER, NONPAREIL IMPORTED TURKEY GLASS JAR SHELF STABLE (ALT # 50011)</t>
  </si>
  <si>
    <t>CORN, BABY WHOLE 150 COUNT CANNED IMPORTED THAILAND</t>
  </si>
  <si>
    <t>HOMINY, WHITE CANNED (ALT # 50011)</t>
  </si>
  <si>
    <t>BUSHS BEST</t>
  </si>
  <si>
    <t>JUICE, CLAM OCEAN NO MSG CANNED (ALT # 50011)</t>
  </si>
  <si>
    <t>12/46 OZ</t>
  </si>
  <si>
    <t>JUICE, PINEAPPLE 100% CAN SHELF STABLE</t>
  </si>
  <si>
    <t>KETCHUP, TOMATO FANCY 33% CAN SHELF STABLE</t>
  </si>
  <si>
    <t>MONARCH-D</t>
  </si>
  <si>
    <t>MARMALADE, ORANGE CAN SHELF STABLE</t>
  </si>
  <si>
    <t>LYONS MAGNUS</t>
  </si>
  <si>
    <t>MILK COCONUT, UNSWEETEND IMPORTED THAILAND (ALT # 50011)</t>
  </si>
  <si>
    <t>CHAOKOH</t>
  </si>
  <si>
    <t>6/98 OZ</t>
  </si>
  <si>
    <t>OLIVE, GREEN SLICED CAN SHELF STABLE IMPORTED SPAIN</t>
  </si>
  <si>
    <t>OLIVE, KALAMATA SLICED RANDOM IMPORTED GREECE PLASTIC SHELF STABLE TFF (ALT # 50011)</t>
  </si>
  <si>
    <t>ROLAND</t>
  </si>
  <si>
    <t>6/6.6 LB</t>
  </si>
  <si>
    <t>OLIVE, RIPE SLICED FANCY CALIFORNIA (ALT # 50011)</t>
  </si>
  <si>
    <t>ORANGE, MANDARIN WHOLE SEGMENT IN LIGHT-SYRUP CANNED IMPORTED (ALT # 50011)</t>
  </si>
  <si>
    <t>PEPPER, CHERRY HOT RED &amp; GREEN SLICED IN VINEGAR &amp; WATER IMPORTED MEXICO PL</t>
  </si>
  <si>
    <t>DEL SOL</t>
  </si>
  <si>
    <t>PEPPER, CHILI GREEN DICED PEELED FIRE ROASTED IN WATER IMPORTED MEXICO CAN</t>
  </si>
  <si>
    <t>EMBASA</t>
  </si>
  <si>
    <t>12/7 OZ</t>
  </si>
  <si>
    <t>PEPPER, JALAPENO SLICED NACHO 1/4" HOT IN VINEGAR &amp; WATER CAN SHELF STABLE (ALT # 50011)</t>
  </si>
  <si>
    <t>RYKOFF SEXTON</t>
  </si>
  <si>
    <t>12/28 OZ</t>
  </si>
  <si>
    <t>PICKLE, DILL CRINKLE-CUT CHIP 1435-1700 COUNT 1/4" PAIL SHELF STABLE (ALT # 50011)</t>
  </si>
  <si>
    <t>5 GA</t>
  </si>
  <si>
    <t>PINEAPPLE, TIDBIT IN JUICE CANNED IMPORTED (ALT # 50011)</t>
  </si>
  <si>
    <t>PRESERVES, APRICOT CAN SHELF STABLE</t>
  </si>
  <si>
    <t>CARRIAGE HOUSE</t>
  </si>
  <si>
    <t>PRESERVES, STRAWBERRY CAN SHELF STABLE (ALT # 50011)</t>
  </si>
  <si>
    <t>PUDDING, CHOCOLATE RTU TFF CANNED SHELF STABLE (ALT # 50011)</t>
  </si>
  <si>
    <t>PUDDING, VANILLA RTU TFF CAN SHELF STABLE (ALT # 50011)</t>
  </si>
  <si>
    <t>PUMPKIN, SOLID PACK CANNED</t>
  </si>
  <si>
    <t>LIBBYS PUMPKIN</t>
  </si>
  <si>
    <t>SAUCE, CHILI CAN SHELF STABLE</t>
  </si>
  <si>
    <t>RED GOLD</t>
  </si>
  <si>
    <t>SAUCE, TOMATO CAN SHELF STABLE (ALT # 50011)</t>
  </si>
  <si>
    <t>SAUERKRAUT, SHRED PAIL REF</t>
  </si>
  <si>
    <t>2 GA</t>
  </si>
  <si>
    <t>TOMATILLO, CRUSHED GREEN CANNED IMPORTED MEXICO</t>
  </si>
  <si>
    <t>TOMATILLO, WHOLE GREEN IN JUICE CANNED (ALT # 50011)</t>
  </si>
  <si>
    <t>TOMATO, DICED 1" IN JUICE PEELED CANNED CALIFORNIA (ALT # 50011)</t>
  </si>
  <si>
    <t>TOMATO, DICED 3/4" FIRE ROASTED IN JUICE PEELED CANNED CALIFORNIA (ALT # 50011)</t>
  </si>
  <si>
    <t>TOMATO, GROUND PEAR IN PUREE PEELED CANNED 1.07 (ALT # 50011)</t>
  </si>
  <si>
    <t>TOMATO, PASTE 26% LIGHT CANNED CALIFORNIA FANCY (ALT # 50011)</t>
  </si>
  <si>
    <t>TOMATO, PUREE HEAVY 1.06 CANNED CALIFORNIA (ALT # 50011)</t>
  </si>
  <si>
    <t>WATER CHESTNUT, SLICED CANNED</t>
  </si>
  <si>
    <t>CHINA</t>
  </si>
  <si>
    <t>Canned Milk</t>
  </si>
  <si>
    <t>MILK, CONDENSED SWEETENED</t>
  </si>
  <si>
    <t>24/14 OZ</t>
  </si>
  <si>
    <t>MILK, EVAPORATED</t>
  </si>
  <si>
    <t>CARNATION</t>
  </si>
  <si>
    <t>24/12 OZ</t>
  </si>
  <si>
    <t>Dried Fruit</t>
  </si>
  <si>
    <t>APRICOT, DICED SUN DRIED CALIFORNIA</t>
  </si>
  <si>
    <t>TRAINA</t>
  </si>
  <si>
    <t>CHERRY, TART DRIED</t>
  </si>
  <si>
    <t>COCONUT, FLAKE SWEETENED REF (ALT # 50011)</t>
  </si>
  <si>
    <t>AZAR</t>
  </si>
  <si>
    <t>CRANBERRY, DRIED SWEETENED (ALT # 50011)</t>
  </si>
  <si>
    <t>CRAISINS</t>
  </si>
  <si>
    <t>FIG, BLACK MISSION DRIED</t>
  </si>
  <si>
    <t>RAISIN, GOLDEN SEEDLESS</t>
  </si>
  <si>
    <t>24/15 OZ</t>
  </si>
  <si>
    <t>RAISIN, SEEDLESS SELECT (ALT # 50011)</t>
  </si>
  <si>
    <t>TOMATO, SUN DRIED JULIENNE STRIP REF DOMESTIC</t>
  </si>
  <si>
    <t>Dye</t>
  </si>
  <si>
    <t>FOOD COLORING, EGGSHADE LIQUID BOTTLE SHELF STABLE</t>
  </si>
  <si>
    <t>1 QT</t>
  </si>
  <si>
    <t>FOOD COLORING, RED LIQUID BOTTLE SHELF STABLE</t>
  </si>
  <si>
    <t>1 PT</t>
  </si>
  <si>
    <t>Extract</t>
  </si>
  <si>
    <t>EXTRACT, ALMOND IMITATION DOMESTIC BOTTLE SHELF STABLE (ALT # 50011)</t>
  </si>
  <si>
    <t>EXTRACT, LEMON PURE DOMESTIC BOTTLE SHELF STABLE</t>
  </si>
  <si>
    <t>EXTRACT, VANILLA IMITATION</t>
  </si>
  <si>
    <t>1 GA</t>
  </si>
  <si>
    <t>Flour</t>
  </si>
  <si>
    <t>CORNMEAL, YELLOW MEDIUM ENRICHED BAG (ALT # 50011)</t>
  </si>
  <si>
    <t>AUNT JEMIMA</t>
  </si>
  <si>
    <t>8/5 LB</t>
  </si>
  <si>
    <t>CRUMB, BREAD PANKO UNTOASTED COARSE BAG (ALT # 50011)</t>
  </si>
  <si>
    <t>KIKKOMAN</t>
  </si>
  <si>
    <t>FLOUR, DARK ALL-PURPOSE ORGANIC WHOLE RYE</t>
  </si>
  <si>
    <t>CENTRAL MILLING COMPANY</t>
  </si>
  <si>
    <t>FLOUR, HOTEL &amp; RESTAURANT ALL-PURPOSE BLEACHED (ALT # 50011)</t>
  </si>
  <si>
    <t>GOLD MEDAL</t>
  </si>
  <si>
    <t>FLOUR, SEMOLINA</t>
  </si>
  <si>
    <t>FLOUR, WHOLE WHEAT STONE GROUND W/O BROMATE</t>
  </si>
  <si>
    <t>SHEPARDS HI-GLUTEN FLOUR</t>
  </si>
  <si>
    <t>SHEPARDS</t>
  </si>
  <si>
    <t>50LB</t>
  </si>
  <si>
    <t>Grain</t>
  </si>
  <si>
    <t>CORNMEAL, YELLOW COARSE BAG ITALIAN STYLE POLENTA</t>
  </si>
  <si>
    <t>GRAIN, BARLEY PEARL (ALT # 50011)</t>
  </si>
  <si>
    <t>GRAIN, BLEND COUSCOUS TRI-COLOR QUINOA RESEALABLE BAG (ALT # 50011)</t>
  </si>
  <si>
    <t>5/28 OZ</t>
  </si>
  <si>
    <t>GRAIN, FARRO SEMI-PEARL ORGANIC (ALT # 50011)</t>
  </si>
  <si>
    <t>AGRIBOSCO</t>
  </si>
  <si>
    <t>2/11 LB</t>
  </si>
  <si>
    <t>GRAIN, QUINOA RED PREWASHED (ALT # 50011)</t>
  </si>
  <si>
    <t>GRAIN, QUINOA WHITE PREWASHED</t>
  </si>
  <si>
    <t>GRAIN, WHEAT BULGUR</t>
  </si>
  <si>
    <t>GRAIN, WHEAT RED HARD BERRY</t>
  </si>
  <si>
    <t>ARTISAN SPECIALTY-FI-UT</t>
  </si>
  <si>
    <t>Juice</t>
  </si>
  <si>
    <t>JUICE LEMON ULTRA LTLY PASTRZ</t>
  </si>
  <si>
    <t>SUN ORCHAR</t>
  </si>
  <si>
    <t>6/.5GAL</t>
  </si>
  <si>
    <t>SUN ORCHARD</t>
  </si>
  <si>
    <t>JUICE, ORANGE 100% LIGHTLY PASTEURIZED NOT-FROM-CONCENTRATE PLASTIC BOTTLE</t>
  </si>
  <si>
    <t>Leavening Agent</t>
  </si>
  <si>
    <t>BAKING POWDER, SHAKER</t>
  </si>
  <si>
    <t>32 OZ</t>
  </si>
  <si>
    <t>BAKING POWDER, DOUBLE ACTING</t>
  </si>
  <si>
    <t>CALUMET</t>
  </si>
  <si>
    <t>BAKING SODA, BOX</t>
  </si>
  <si>
    <t>BAKING SODA, SHAKER</t>
  </si>
  <si>
    <t>36 OZ</t>
  </si>
  <si>
    <t>YEAST, BAKER SHELF STABLE INSTANT RED</t>
  </si>
  <si>
    <t>SAF</t>
  </si>
  <si>
    <t>20/1 LB</t>
  </si>
  <si>
    <t>YEAST, NUTRITIONAL SHELF STABLE</t>
  </si>
  <si>
    <t>FRONTIER NATURAL PRODUCTS</t>
  </si>
  <si>
    <t>MISC Baking</t>
  </si>
  <si>
    <t>CANDY, M&amp;M PLAIN BULK</t>
  </si>
  <si>
    <t>M&amp;M'S</t>
  </si>
  <si>
    <t>CANDY, REESES PIECES BULK</t>
  </si>
  <si>
    <t>REESE'S</t>
  </si>
  <si>
    <t>CEREAL, CREAM OF WHEAT BOX SHELF STABLE HOT (ALT # 50011)</t>
  </si>
  <si>
    <t>QUAKER</t>
  </si>
  <si>
    <t>CEREAL, OATMEAL ROLLED OLD FASHIONED CANISTER SHELF STABLE HOT</t>
  </si>
  <si>
    <t>12/42 OZ</t>
  </si>
  <si>
    <t>CEREAL, RICE CRISPY BULK (ALT # 50011)</t>
  </si>
  <si>
    <t>MALT-O-MEAL COMPANY</t>
  </si>
  <si>
    <t>4/32 OZ</t>
  </si>
  <si>
    <t>CHOCOLATE, BAKING BITTERSWEET BLOCK TFF DOMESTIC</t>
  </si>
  <si>
    <t>CALLEBAUT</t>
  </si>
  <si>
    <t>5/5 KG</t>
  </si>
  <si>
    <t>CHOCOLATE, CHIP SEMI SWEET REF 4000 COUNT</t>
  </si>
  <si>
    <t>VAN LEER</t>
  </si>
  <si>
    <t>CHOCOLATE, CHIP WHITE 1000 COUNT</t>
  </si>
  <si>
    <t>GHIRARDELLI CHOCOLATE</t>
  </si>
  <si>
    <t>COCOA, BAKING 12% BUTTERFAT CHOCOLATE</t>
  </si>
  <si>
    <t>CRUMB, GRAHAM CRACKER PLAIN FINE BAG</t>
  </si>
  <si>
    <t>KEEBLER</t>
  </si>
  <si>
    <t>ICING, CHOCOLATE FUDGE RTU (ALT # 50011)</t>
  </si>
  <si>
    <t>ICING, VANILLA CREAM RTU SHELF STABLE ALLERGEN (ALT # 50011)</t>
  </si>
  <si>
    <t>MARSHMALLOW, WHITE MINI (ALT # 50011)</t>
  </si>
  <si>
    <t>KRAFT</t>
  </si>
  <si>
    <t>MIX, BROWNIE FUDGE PHO-FREE ADD WATER COMPLETE (ALT # 50011)</t>
  </si>
  <si>
    <t>MIX, CAKE CHOCOLATE PHO-FREE ADD WATER COMPLETE</t>
  </si>
  <si>
    <t>MIX, CAKE WHITE PHO-FREE ADD WATER COMPLETE (ALT # 50011)</t>
  </si>
  <si>
    <t>PEANUT BUTTER, CREAMY TUB SHELF STABLE (ALT # 50011)</t>
  </si>
  <si>
    <t>SPRINKLES, CHOCOLATE JIMMIES</t>
  </si>
  <si>
    <t>AMBROSIA CHOCOLATE</t>
  </si>
  <si>
    <t>4/6 LB</t>
  </si>
  <si>
    <t>SPRINKLES, RAINBOW JIMMIES (ALT # 50011)</t>
  </si>
  <si>
    <t>FISHER</t>
  </si>
  <si>
    <t>TOPPING, OREO COOKIE PIECE MEDIUM SHELF STABLE BAG</t>
  </si>
  <si>
    <t>OREO</t>
  </si>
  <si>
    <t>Nut</t>
  </si>
  <si>
    <t>ALMOND, SLIVERED BLANCHED SHELL OFF BAG NUT (ALT # 50011)</t>
  </si>
  <si>
    <t>CASHEW, HALF &amp; PIECE ROASTED SALTED SHELL OFF BULK NUT (ALT # 50011)</t>
  </si>
  <si>
    <t>HAZELNUT, WHOLE RAW UNSALTED SHELL OFF BAG NUT FILBERT</t>
  </si>
  <si>
    <t>BAKERS SELECT</t>
  </si>
  <si>
    <t>PEANUT, WHOLE JUMBO ROASTED BLANCHED UNSALTED SHELL OFF BAG NUT</t>
  </si>
  <si>
    <t>POWERS SNACK TIME</t>
  </si>
  <si>
    <t>3/2 LB</t>
  </si>
  <si>
    <t>PECAN, PIECE MEDIUM FANCY UNSALTED RAW SHELL OFF BAG NUT (ALT # 50011)</t>
  </si>
  <si>
    <t>PISTACHIO, KERNEL UNSALTED SHELL OFF RAW BAG NUT (ALT # 50011)</t>
  </si>
  <si>
    <t>WALNUT, HALF &amp; PIECE RAW SHELL OFF REF NUT (ALT # 50011)</t>
  </si>
  <si>
    <t>Oil</t>
  </si>
  <si>
    <t>OIL, OLIVE EXTRA VIRGIN IMPORTED SALAD &amp; FRYING TIN (ALT # 50011)</t>
  </si>
  <si>
    <t>4/3 LT</t>
  </si>
  <si>
    <t>OIL, PAN COATING SOYBEAN OIL BASED AEROSOL SPRAY (ALT # 50011)</t>
  </si>
  <si>
    <t>OIL, SESAME DOMESTIC PLASTIC JUG (ALT # 50011)</t>
  </si>
  <si>
    <t>FARMER KING</t>
  </si>
  <si>
    <t>SHORTENING, FRYING &amp; BAKING LARD PORK ANIMAL SOLID CUBE</t>
  </si>
  <si>
    <t>48 LB</t>
  </si>
  <si>
    <t>SHORTENING, FRYING CANOLA LIQUID CLEAR TFF OIL (ALT # 50011)</t>
  </si>
  <si>
    <t>35 LB</t>
  </si>
  <si>
    <t>Pasta</t>
  </si>
  <si>
    <t>NOODLE, EGG CURLY 1/2" WIDE SHELF STABLE PASTA</t>
  </si>
  <si>
    <t>NOODLE, RICE STICK MEDIUM SHELF STABLE IMPORTED THAILAND PASTA (ALT # 50011)</t>
  </si>
  <si>
    <t>3 LADIES</t>
  </si>
  <si>
    <t>30/14 OZ</t>
  </si>
  <si>
    <t>PASTA, CAVATAPPI SHELF STABLE (ALT # 50011)</t>
  </si>
  <si>
    <t>PASTA, COUSCOUS ISRAELI SHELF STABLE MIDDLE EASTERN IMPORTED ISRAEL (ALT # 50011)</t>
  </si>
  <si>
    <t>8 LB</t>
  </si>
  <si>
    <t>PASTA, COUSCOUS SHELF STABLE IMPORTED CANADA</t>
  </si>
  <si>
    <t>PASTA, FARFALLE BOW TIE SHELF STABLE (ALT # 50011)</t>
  </si>
  <si>
    <t>PASTA, FETTUCCINE 10" SHELF STABLE (ALT # 50011)</t>
  </si>
  <si>
    <t>PASTA, FETTUCCINE SPINACH 10" SHELF STABLE TFF</t>
  </si>
  <si>
    <t>PASTA GROWER</t>
  </si>
  <si>
    <t>PASTA, FETTUCCINE SPINACH EGG 20" SHELF STABLE (ALT # 50011)</t>
  </si>
  <si>
    <t>PASTA, MACARONI ELBOW SHELF STABLE (ALT # 50011)</t>
  </si>
  <si>
    <t>PASTA, ORZO SHELF STABLE ROSAMARINA (ALT # 50011)</t>
  </si>
  <si>
    <t>PASTA, PENNE BROWN RICE GLUTEN-FREE SHELF STABLE IMPORTED CANADA</t>
  </si>
  <si>
    <t>PASTA, PENNE MINI SHELF STABLE (ALT # 50011)</t>
  </si>
  <si>
    <t>PASTA, PENNE RIGATE WHOLE WHEAT SHELF STABLE (ALT # 50011)</t>
  </si>
  <si>
    <t>PASTA, ROTINI SHELF STABLE SMALL (ALT # 50011)</t>
  </si>
  <si>
    <t>PASTA, ROTINI TRI COLOR SHELF STABLE RAINBOW</t>
  </si>
  <si>
    <t>PASTA, SPAGHETTI 10" SHELF STABLE</t>
  </si>
  <si>
    <t>PASTA, SPAGHETTI 10" WHOLE WHEAT SHELF STABLE</t>
  </si>
  <si>
    <t>PASTA, ZITI CUT SHELF STABLE</t>
  </si>
  <si>
    <t>Paste</t>
  </si>
  <si>
    <t>FLAVORING, ACHIOTE PASTE REF</t>
  </si>
  <si>
    <t>LA PERLA SPICE</t>
  </si>
  <si>
    <t>5/5 LB</t>
  </si>
  <si>
    <t>storeroom</t>
  </si>
  <si>
    <t>RED MISO PASTE</t>
  </si>
  <si>
    <t>FLAVORING, CURRY RED PASTE SHELF STABLE IMPORTED THAILAND (ALT # 50011)</t>
  </si>
  <si>
    <t>MAEPLOY</t>
  </si>
  <si>
    <t>12/35 OZ</t>
  </si>
  <si>
    <t>FLAVORING, SESAME TAHINI PASTE CARTON SHELF STABLE IMPORTED ISRAEL</t>
  </si>
  <si>
    <t>PASTE, RED PEP GOCHUJAN</t>
  </si>
  <si>
    <t>CJ FOODS</t>
  </si>
  <si>
    <t>4/3KG</t>
  </si>
  <si>
    <t>PASTE, TAMARIND FAT-FREE CHOLESTEROL-FREE (ALT # 50011)</t>
  </si>
  <si>
    <t>JACK HUA</t>
  </si>
  <si>
    <t>50/1 LB</t>
  </si>
  <si>
    <t>Rice</t>
  </si>
  <si>
    <t>RICE, ARBORIO RAW SUPERFINO IMPORTED ITALY</t>
  </si>
  <si>
    <t>15/1 KG</t>
  </si>
  <si>
    <t>RICE, BASMATI</t>
  </si>
  <si>
    <t>BOMBAY PAVILION</t>
  </si>
  <si>
    <t>RICE, BASMATI RAW (ALT # 50011)</t>
  </si>
  <si>
    <t>RICE, BLACK CHINESE FORBIDDEN</t>
  </si>
  <si>
    <t>LOTUS FOODS</t>
  </si>
  <si>
    <t>RICE, BROWN LONG GRAIN PARBOILED (ALT # 50011)</t>
  </si>
  <si>
    <t>RICE, JASMINE RAW IMPORTED THAILAND (ALT # 50011)</t>
  </si>
  <si>
    <t>AMBROSIA IMPORTED FOOD SPECIALTIES</t>
  </si>
  <si>
    <t>RICE, LONG GRAIN PARBOILED (ALT # 50011)</t>
  </si>
  <si>
    <t>RICE, SUSHI HOMAI</t>
  </si>
  <si>
    <t>RICE, WHITE SUSHI RAW</t>
  </si>
  <si>
    <t>RICE, WILD 100% GRADE A INTERNATIONAL (ALT # 50011)</t>
  </si>
  <si>
    <t>UNCLE BEN'S</t>
  </si>
  <si>
    <t>Sauce</t>
  </si>
  <si>
    <t>HORSERADISH, XTRA HOT</t>
  </si>
  <si>
    <t>BEAVER</t>
  </si>
  <si>
    <t>12/32OZ</t>
  </si>
  <si>
    <t>KETCHUP, TOMATO FANCY 33% DISPENSER POUCH SHELF STABLE (ALT # 50011)</t>
  </si>
  <si>
    <t>HEINZ</t>
  </si>
  <si>
    <t>2/1.5 GA</t>
  </si>
  <si>
    <t>MAYONNAISE, POUCH DISPENSER SHELF STABLE (ALT # 50011)</t>
  </si>
  <si>
    <t>MAYONNAISE, REAL PAIL SHELF STABLE (ALT # 50011)</t>
  </si>
  <si>
    <t>MUSTARD, BROWN SPICY WHOLE GRAIN CAN SHELF STABLE IMPORTED FRANCE (ALT # 50011)</t>
  </si>
  <si>
    <t>6/8.6 LB</t>
  </si>
  <si>
    <t>MUSTARD, DIJON PLASTIC JAR SHELF STABLE CLASSIC (ALT # 50011)</t>
  </si>
  <si>
    <t>GREY POUPON</t>
  </si>
  <si>
    <t>6/48 OZ</t>
  </si>
  <si>
    <t>MUSTARD, YELLOW DISPENSER POUCH SHELF STABLE (ALT # 50011)</t>
  </si>
  <si>
    <t>MUSTARD, YELLOW PLASTIC JAR SHELF STABLE (ALT # 50011)</t>
  </si>
  <si>
    <t>RELISH, PICKLE SWEET PLASTIC JAR SHELF STABLE</t>
  </si>
  <si>
    <t>SAUCE, BBQ PLASTIC JUG SHELF STABLE ORIGINAL (ALT # 50011)</t>
  </si>
  <si>
    <t>SWEET BABY RAY'S</t>
  </si>
  <si>
    <t>SAUCE, CHILI GARLIC PLASTIC BOTTLE SHELF STABLE (ALT # 50011)</t>
  </si>
  <si>
    <t>HUY FONG FOODS</t>
  </si>
  <si>
    <t>3/136 OZ</t>
  </si>
  <si>
    <t>SAUCE, CHILI SRIRACHA SQUEEZE BOTTLE SHELF STABLE (ALT # 50011)</t>
  </si>
  <si>
    <t>SAUCE, CHILI SWEET GLASS BOTTLE SHELF STABLE (ALT # 50011)</t>
  </si>
  <si>
    <t>12/32 OZ</t>
  </si>
  <si>
    <t>SAUCE, FISH GLASS BOTTLE SHELF STABLE (ALT # 50011)</t>
  </si>
  <si>
    <t>SQUID</t>
  </si>
  <si>
    <t>12/25 OZ</t>
  </si>
  <si>
    <t>SAUCE, HOISIN CAN SHELF STABLE (ALT # 50011)</t>
  </si>
  <si>
    <t>LEE KUM KEE</t>
  </si>
  <si>
    <t>SAUCE, HOT GLASS BOTTLE SHELF STABLE ORIGINAL (ALT # 50011)</t>
  </si>
  <si>
    <t>CHOLULA</t>
  </si>
  <si>
    <t>12/12 OZ</t>
  </si>
  <si>
    <t>TABASCO</t>
  </si>
  <si>
    <t>SAUCE, HOT RED PLASTIC JUG SHELF STABLE ORIGINAL (ALT # 50011)</t>
  </si>
  <si>
    <t>FRANKS</t>
  </si>
  <si>
    <t>SAUCE, OYSTER SHELF STABLE (ALT # 50011)</t>
  </si>
  <si>
    <t>PANDA</t>
  </si>
  <si>
    <t>SAUCE, PLUM CAN SHELF STABLE (ALT # 50011)</t>
  </si>
  <si>
    <t>KOON CHUN</t>
  </si>
  <si>
    <t>SAUCE, SOY PAIL SHELF STABLE</t>
  </si>
  <si>
    <t>SAUCE, SOY PLASTIC JUG SHELF STABLE (ALT # 50011)</t>
  </si>
  <si>
    <t>SAUCE, SOY TAMARI GLUTEN-FREE PLASTIC JUG SHELF STABLE</t>
  </si>
  <si>
    <t>SAUCE, STEAK 57 GLASS BOTTLE SHELF STABLE (ALT # 50011)</t>
  </si>
  <si>
    <t>24/5 OZ</t>
  </si>
  <si>
    <t>SAUCE, STEAK A-1 GLASS BOTTLE SHELF STABLE (ALT # 50011)</t>
  </si>
  <si>
    <t>A1</t>
  </si>
  <si>
    <t>12/10 OZ</t>
  </si>
  <si>
    <t>SAUCE, WORCESTERSHIRE PLASTIC JUG SHELF STABLE</t>
  </si>
  <si>
    <t>LEA &amp; PERRINS</t>
  </si>
  <si>
    <t>3/1 GA</t>
  </si>
  <si>
    <t>Seed</t>
  </si>
  <si>
    <t>SEED, PUMPKIN RAW UNSALTED REF PEPITA NUT (ALT # 50011)</t>
  </si>
  <si>
    <t>SUNFLOWER SEED, SALTED ROASTED KERNEL SHELL OFF BAG NUT</t>
  </si>
  <si>
    <t>WESTERN NUT</t>
  </si>
  <si>
    <t>Spice</t>
  </si>
  <si>
    <t>ADDITIVE, XANTHAN GUM ARTISTRE SHELF STABLE</t>
  </si>
  <si>
    <t>ARTISTRE-FI-UT</t>
  </si>
  <si>
    <t>GLUTEN, POWDER IMPORTED &amp; DOMESTIC BAG SHELF STABLE</t>
  </si>
  <si>
    <t>MANILDRA MILLING</t>
  </si>
  <si>
    <t>MIX, DRESSING RANCH BULK TUB</t>
  </si>
  <si>
    <t>HIDDEN VALLEY</t>
  </si>
  <si>
    <t>SALT, CURING PINK CERTIFIED 6.25% NITRITE BAG</t>
  </si>
  <si>
    <t>2.2 LB</t>
  </si>
  <si>
    <t>DIAMOND CRYSTAL</t>
  </si>
  <si>
    <t>SALT, SEA GROUND COARSE (ALT # 50011)</t>
  </si>
  <si>
    <t>MORTON SALT</t>
  </si>
  <si>
    <t>12/17.6 OZ</t>
  </si>
  <si>
    <t>SEASONING, CAJUN GRANULATED PLASTIC SHAKER SHELF STABLE SPICE (ALT # 50011)</t>
  </si>
  <si>
    <t>22 OZ</t>
  </si>
  <si>
    <t>SEASONING, HERB DE PROVENCE SHELF STABLE SPICE</t>
  </si>
  <si>
    <t>DURKEE</t>
  </si>
  <si>
    <t>5.5 OZ</t>
  </si>
  <si>
    <t>28 OZ</t>
  </si>
  <si>
    <t>SEASONING, JAMAICAN JERK PLASTIC SHAKER SHELF STABLE SPICE</t>
  </si>
  <si>
    <t>25 OZ</t>
  </si>
  <si>
    <t>SEASONING, LEMON PEPPER PLASTIC SHAKER SHELF STABLE SPICE</t>
  </si>
  <si>
    <t>SEASONING, PICKLING BLEND SHELF STABLE SPICE</t>
  </si>
  <si>
    <t>14 OZ</t>
  </si>
  <si>
    <t>SEASONING, SEAFOOD SHELF STABLE SPICE</t>
  </si>
  <si>
    <t>OLD BAY</t>
  </si>
  <si>
    <t>16 OZ</t>
  </si>
  <si>
    <t>SPICE, ALLSPICE GROUND SHELF STABLE SEASONING</t>
  </si>
  <si>
    <t>SPICE, ANISE SEED WHOLE SHELF STABLE SEASONING</t>
  </si>
  <si>
    <t>No Pr</t>
  </si>
  <si>
    <t>SPICE, ANISE STAR DRIED BAG SHELF STABLE SEASONING</t>
  </si>
  <si>
    <t>8 OZ</t>
  </si>
  <si>
    <t>SPICE, BASIL LEAF DRIED BOX SHELF STABLE SEASONING (ALT # 50011)</t>
  </si>
  <si>
    <t>26 OZ</t>
  </si>
  <si>
    <t>SPICE, BAY LEAF WHOLE DRIED PLASTIC JUG SHELF STABLE SEASONING</t>
  </si>
  <si>
    <t>12 OZ</t>
  </si>
  <si>
    <t>SPICE, CARAWAY SEED WHOLE PLASTIC SHAKER SHELF STABLE SEASONING</t>
  </si>
  <si>
    <t>SPICE, CARDAMOM GROUND SHELF STABLE SEASONING</t>
  </si>
  <si>
    <t>15 OZ</t>
  </si>
  <si>
    <t>SPICE, CELERY SALT SHELF STABLE SEASONING</t>
  </si>
  <si>
    <t>35 OZ</t>
  </si>
  <si>
    <t>SPICE, CELERY SEED WHOLE SHELF STABLE SEASONING (ALT # 50011)</t>
  </si>
  <si>
    <t>SPICE, CINNAMON GROUND PLASTIC JUG SHELF STABLE SEASONING</t>
  </si>
  <si>
    <t>SPICE, CINNAMON STICK 2.75" SHELF STABLE SEASONING</t>
  </si>
  <si>
    <t>SPICE, CLOVE GROUND SHELF STABLE SEASONING</t>
  </si>
  <si>
    <t>SPICE, CLOVE WHOLE PLASTIC SHAKER SHELF STABLE SEASONING</t>
  </si>
  <si>
    <t>11 OZ</t>
  </si>
  <si>
    <t>SPICE, CORIANDER GROUND SHELF STABLE SEASONING (ALT # 50011)</t>
  </si>
  <si>
    <t>SPICE, CORIANDER SEED WHOLE SHELF STABLE SEASONING (ALT # 50011)</t>
  </si>
  <si>
    <t>SPICE, CREAM OF TARTAR POWDER PLASTIC SHAKER SHELF STABLE SEASONING</t>
  </si>
  <si>
    <t>SPICE, CUMIN SEED WHOLE PLASTIC SHAKER SHELF STABLE SEASONING</t>
  </si>
  <si>
    <t>SPICE, CURRY POWDER PLASTIC SHAKER SHELF STABLE SEASONING (ALT # 50011)</t>
  </si>
  <si>
    <t>SPICE, DILL WEED PLASTIC SHELF STABLE SEASONING (ALT # 50011)</t>
  </si>
  <si>
    <t>SPICE, FENNEL SEED WHOLE SHELF STABLE SEASONING</t>
  </si>
  <si>
    <t>SPICE, GARLIC GRANULATED PLASTIC JUG SHELF STABLE SEASONING (ALT # 50011)</t>
  </si>
  <si>
    <t>7.25 LB</t>
  </si>
  <si>
    <t>SPICE, GARLIC MINCED</t>
  </si>
  <si>
    <t>SPICE, GINGER GROUND PLASTIC SHAKER SHELF STABLE SEASONING (ALT # 50011)</t>
  </si>
  <si>
    <t>SPICE, GUMBO FILE POWDER SHELF STABLE SEASONING</t>
  </si>
  <si>
    <t>SPICE, MINCED ONION</t>
  </si>
  <si>
    <t>SPICE, MUSTARD GROUND PLASTIC SHAKER SHELF STABLE SEASONING</t>
  </si>
  <si>
    <t>SPICE, MUSTARD SEED WHOLE SHELF STABLE SEASONING (ALT # 50011)</t>
  </si>
  <si>
    <t>23 OZ</t>
  </si>
  <si>
    <t>SPICE, NUTMEG GROUND PLASTIC SHAKER SHELF STABLE SEASONING</t>
  </si>
  <si>
    <t>SPICE, ONION GRANULATED PLASTIC JUG SHELF STABLE SEASONING (ALT # 50011)</t>
  </si>
  <si>
    <t>SPICE, OREGANO LEAF DRIED PLASTIC JUG SHELF STABLE SEASONING (ALT # 50011)</t>
  </si>
  <si>
    <t>24 OZ</t>
  </si>
  <si>
    <t>SPICE, PAPRIKA GROUND SMOKED PLASTIC BOTTLE SHELF STABLE SEASONING (ALT # 50011)</t>
  </si>
  <si>
    <t>MCCORMICK</t>
  </si>
  <si>
    <t>6/17 OZ</t>
  </si>
  <si>
    <t>SPICE, PAPRIKA SPANISH GROUND PLASTIC JUG SHELF STABLE SEASONING (ALT # 50011)</t>
  </si>
  <si>
    <t>SPICE, PEPPER BLACK CRACKED PLASTIC JUG 8M</t>
  </si>
  <si>
    <t>SPICE, PEPPER BLACK GROUND COARSE PLASTIC JUG 12M</t>
  </si>
  <si>
    <t>SPICE, PEPPER BLACK WHOLE PLASTIC SHAKER (ALT # 50011)</t>
  </si>
  <si>
    <t>18 OZ</t>
  </si>
  <si>
    <t>SPICE, PEPPER CAYENNE GROUND PLASTIC SHAKER SHELF STABLE SEASONING (ALT # 50011)</t>
  </si>
  <si>
    <t>SPICE, PEPPER CHILI ALEPPO CRUSHED JAR SHELF STABLE IMPORTED TURKEY SEASONI</t>
  </si>
  <si>
    <t>D'ALLESANDRO-FI-UT</t>
  </si>
  <si>
    <t>SPICE, PEPPER RED CRUSHED PLASTIC JUG SHELF STABLE SEASONING (ALT # 50011)</t>
  </si>
  <si>
    <t>3.75 LB</t>
  </si>
  <si>
    <t>SPICE, PEPPER WHITE GROUND PLASTIC SHAKER</t>
  </si>
  <si>
    <t>SPICE, POPPY SEED WHOLE SHELF STABLE SEASONING</t>
  </si>
  <si>
    <t>20 OZ</t>
  </si>
  <si>
    <t>SPICE, ROSEMARY LEAF DRIED PLASTIC SHAKER SHELF STABLE SEASONING</t>
  </si>
  <si>
    <t>6 OZ</t>
  </si>
  <si>
    <t>SPICE, SAGE LEAF RUBBED PLASTIC BOTTLE SHELF STABLE SEASONING</t>
  </si>
  <si>
    <t>SPICE, SESAME SEED BLACK WHOLE PLASTIC SHAKER SHELF STABLE SEASONING (ALT # 50011)</t>
  </si>
  <si>
    <t>19 OZ</t>
  </si>
  <si>
    <t>SPICE, SESAME SEED WHOLE PLASTIC SHAKER SHELF STABLE SEASONING (ALT # 50011)</t>
  </si>
  <si>
    <t>SPICE, SUMAC GROUND PLASTIC JAR SHELF STABLE IMPORTED TURKEY SEASONING</t>
  </si>
  <si>
    <t>SPICE, THYME LEAF DRIED PLASTIC BOTTLE SHELF STABLE SEASONING (ALT # 50011)</t>
  </si>
  <si>
    <t>33 OZ</t>
  </si>
  <si>
    <t>SPICE, TURMERIC GROUND PLASTIC SHAKER SHELF STABLE SEASONING (ALT # 50011)</t>
  </si>
  <si>
    <t>Sweetners</t>
  </si>
  <si>
    <t>MOLASSES, LIGHT UNSULPHURED PLASTIC JUG (ALT # 50011)</t>
  </si>
  <si>
    <t>GRANDMAS MOLASSES</t>
  </si>
  <si>
    <t>4/128 OZ</t>
  </si>
  <si>
    <t>SUGAR, BROWN LIGHT CRYSTAL BEET (ALT # 50011)</t>
  </si>
  <si>
    <t>WHITE SATIN</t>
  </si>
  <si>
    <t>SUGAR, POWDERED CONFECTIONER 10X BEET</t>
  </si>
  <si>
    <t>SUGAR, SANDING CRYSTAL WHITE (ALT # 50011)</t>
  </si>
  <si>
    <t>SUGAR, WHITE EXTRA FINE CANE (ALT # 50011)</t>
  </si>
  <si>
    <t>SYRUP, CORN LIGHT PLASTIC JUG</t>
  </si>
  <si>
    <t>SYRUP, MAPLE PURE GRADE A DARK AMBER PLASTIC JUG SHELF STABLE</t>
  </si>
  <si>
    <t>MAPLE GROVE FARMS OF VERMONT</t>
  </si>
  <si>
    <t>SYRUP, PANCAKE MAPLE FLAVORED PLASTIC JUG SHELF STABLE ORIGINAL</t>
  </si>
  <si>
    <t>LOG CABIN SYRUP</t>
  </si>
  <si>
    <t>Thickners</t>
  </si>
  <si>
    <t>CORN STARCH, BULK</t>
  </si>
  <si>
    <t>MIX, GELATIN UNFLAVORED GRANULATED CANISTER SHELF STABLE</t>
  </si>
  <si>
    <t>KNOX</t>
  </si>
  <si>
    <t>Vinegar</t>
  </si>
  <si>
    <t>VINEGAR, APPLE CIDER 4% ALCOHOL DOMESTIC PLASTIC JUG (ALT # 50011)</t>
  </si>
  <si>
    <t>VINEGAR, BALSAMIC 1.5% ALCOHOL IMPORTED ITALY PLASTIC JUG (ALT # 50011)</t>
  </si>
  <si>
    <t>MONARI FEDERZONI</t>
  </si>
  <si>
    <t>2/5 LT</t>
  </si>
  <si>
    <t>VINEGAR, BALSAMIC WHITE IMPORTED ITALY PLASTIC (ALT # 50011)</t>
  </si>
  <si>
    <t>VINEGAR, CHAMPAGNE IMPORTED FRANCE</t>
  </si>
  <si>
    <t>VINEGAR, DISTILLED WHITE DOMESTIC 50 GRAIN PLASTIC JUG (ALT # 50011)</t>
  </si>
  <si>
    <t>VINEGAR, RICE IMPORTED JAPAN PLASTIC (ALT # 50011)</t>
  </si>
  <si>
    <t>NAKANO</t>
  </si>
  <si>
    <t>RYKOFF-SEXTON INTERNATIONAL GOLD</t>
  </si>
  <si>
    <t>12/16.75 OZ</t>
  </si>
  <si>
    <t>FOUR MONKS</t>
  </si>
  <si>
    <t>VINEGAR, WINE WHITE PLASTIC (ALT # 50011)</t>
  </si>
  <si>
    <t>WINE, COOKING RICE MIRIN SWEET PLASTIC (ALT # 50011)</t>
  </si>
  <si>
    <t>6/60 OZ</t>
  </si>
  <si>
    <t>Wine</t>
  </si>
  <si>
    <t>Sherry Cooking Wine Sysco</t>
  </si>
  <si>
    <t>Gal</t>
  </si>
  <si>
    <t>WINE, COOKING BURGUNDY</t>
  </si>
  <si>
    <t>WINE, COOKING RED</t>
  </si>
  <si>
    <t>PAUL DUPREE</t>
  </si>
  <si>
    <t>RICE HOMAI</t>
  </si>
  <si>
    <t>SEAWD SALAD WAKAME</t>
  </si>
  <si>
    <t>SEAWEED, DRY SHT IMP JPN</t>
  </si>
  <si>
    <t>YAKI-NORI-SG</t>
  </si>
  <si>
    <t>50 EA</t>
  </si>
  <si>
    <t>SEED, HEMP WHOLE RAW UNSALTED SHELL OFF ORGANIC PLASTIC JUG NUT</t>
  </si>
  <si>
    <t>MANITOBA HARVEST</t>
  </si>
  <si>
    <t>SHELL, TACO CORN YELLOW 6" GLUTEN-FREE HARD SHELF STABLE TORTILLA (ALT # 50011)</t>
  </si>
  <si>
    <t>MANUELS</t>
  </si>
  <si>
    <t>200 EA</t>
  </si>
  <si>
    <t>SPICE, WASABI POWDER BAG SHELF STABLE SEASONING</t>
  </si>
  <si>
    <t>MASTER CHEF/GIANT UNION</t>
  </si>
  <si>
    <t>RAMEN CONCENTRATE-ALL</t>
  </si>
  <si>
    <t>4/CS</t>
  </si>
  <si>
    <t>PEPPER, CHILI MORITA DRIED FRESH</t>
  </si>
  <si>
    <t>MIOLA - SUSHI RICE POWDER</t>
  </si>
  <si>
    <t>MUSHROOM, DRIED</t>
  </si>
  <si>
    <t>NOODLE, CHOW MEIN CRISPY SHELF STABLE PASTA (ALT # 50011)</t>
  </si>
  <si>
    <t>WRIGHT'S</t>
  </si>
  <si>
    <t>GINGER, SLICED PICKLED SWEET PLASTIC</t>
  </si>
  <si>
    <t>HONDASHI BONITO SOUP STOCK</t>
  </si>
  <si>
    <t>OCEANBEAUT</t>
  </si>
  <si>
    <t>KIZAMI PICKLED GINGER</t>
  </si>
  <si>
    <t>1 GAL</t>
  </si>
  <si>
    <t>EEL SAUCE</t>
  </si>
  <si>
    <t>BONITO FISH FLAKE</t>
  </si>
  <si>
    <t>CORN, HUSK DRIED</t>
  </si>
  <si>
    <t>5/16 OZ</t>
  </si>
  <si>
    <t>itemName</t>
  </si>
  <si>
    <t>quantity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</si>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</sst>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name val="Corbel"/>
      <family val="2"/>
    </font>
    <font>
      <sz val="12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Tahoma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sz val="2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1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1">
    <xf numFmtId="0" fontId="0" fillId="0" borderId="0" xfId="0"/>
    <xf numFmtId="0" fontId="16" fillId="0" borderId="10" xfId="0" applyFont="1" applyBorder="1"/>
    <xf numFmtId="0" fontId="0" fillId="0" borderId="0" xfId="0"/>
    <xf numFmtId="0" fontId="19" fillId="0" borderId="0" xfId="0" applyFont="1" applyProtection="1"/>
    <xf numFmtId="0" fontId="22" fillId="0" borderId="0" xfId="0" applyFont="1" applyAlignment="1" applyProtection="1">
      <alignment horizontal="right"/>
    </xf>
    <xf numFmtId="0" fontId="22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right"/>
      <protection locked="0"/>
    </xf>
    <xf numFmtId="0" fontId="19" fillId="0" borderId="0" xfId="0" applyFont="1" applyAlignment="1" applyProtection="1">
      <alignment horizontal="left"/>
    </xf>
    <xf numFmtId="0" fontId="22" fillId="34" borderId="11" xfId="0" applyFont="1" applyFill="1" applyBorder="1" applyAlignment="1" applyProtection="1">
      <alignment horizontal="center"/>
    </xf>
    <xf numFmtId="0" fontId="19" fillId="35" borderId="19" xfId="0" applyFont="1" applyFill="1" applyBorder="1" applyAlignment="1" applyProtection="1">
      <alignment horizontal="center"/>
    </xf>
    <xf numFmtId="164" fontId="19" fillId="0" borderId="11" xfId="0" applyNumberFormat="1" applyFont="1" applyBorder="1" applyProtection="1"/>
    <xf numFmtId="164" fontId="19" fillId="0" borderId="23" xfId="0" applyNumberFormat="1" applyFont="1" applyBorder="1" applyProtection="1"/>
    <xf numFmtId="2" fontId="19" fillId="0" borderId="23" xfId="0" applyNumberFormat="1" applyFont="1" applyBorder="1" applyProtection="1"/>
    <xf numFmtId="12" fontId="19" fillId="35" borderId="21" xfId="0" applyNumberFormat="1" applyFont="1" applyFill="1" applyBorder="1" applyAlignment="1" applyProtection="1">
      <alignment horizontal="center"/>
    </xf>
    <xf numFmtId="12" fontId="24" fillId="36" borderId="19" xfId="0" applyNumberFormat="1" applyFont="1" applyFill="1" applyBorder="1" applyAlignment="1" applyProtection="1">
      <alignment horizontal="center"/>
    </xf>
    <xf numFmtId="0" fontId="24" fillId="36" borderId="19" xfId="0" applyFont="1" applyFill="1" applyBorder="1" applyAlignment="1" applyProtection="1">
      <alignment horizontal="center"/>
    </xf>
    <xf numFmtId="12" fontId="24" fillId="36" borderId="21" xfId="0" applyNumberFormat="1" applyFont="1" applyFill="1" applyBorder="1" applyAlignment="1" applyProtection="1">
      <alignment horizontal="center"/>
    </xf>
    <xf numFmtId="0" fontId="24" fillId="36" borderId="0" xfId="0" applyFont="1" applyFill="1" applyBorder="1" applyAlignment="1" applyProtection="1">
      <alignment wrapText="1"/>
    </xf>
    <xf numFmtId="0" fontId="24" fillId="36" borderId="22" xfId="0" applyFont="1" applyFill="1" applyBorder="1" applyAlignment="1" applyProtection="1">
      <alignment wrapText="1"/>
    </xf>
    <xf numFmtId="12" fontId="19" fillId="35" borderId="21" xfId="0" applyNumberFormat="1" applyFont="1" applyFill="1" applyBorder="1" applyAlignment="1" applyProtection="1">
      <alignment horizontal="center" vertical="center"/>
    </xf>
    <xf numFmtId="164" fontId="0" fillId="0" borderId="0" xfId="0" applyNumberFormat="1"/>
    <xf numFmtId="2" fontId="19" fillId="35" borderId="0" xfId="0" applyNumberFormat="1" applyFont="1" applyFill="1" applyBorder="1" applyAlignment="1" applyProtection="1">
      <alignment wrapText="1"/>
    </xf>
    <xf numFmtId="164" fontId="24" fillId="36" borderId="11" xfId="0" applyNumberFormat="1" applyFont="1" applyFill="1" applyBorder="1" applyProtection="1"/>
    <xf numFmtId="0" fontId="22" fillId="0" borderId="0" xfId="0" applyFont="1" applyFill="1" applyBorder="1" applyAlignment="1" applyProtection="1">
      <alignment horizontal="right"/>
    </xf>
    <xf numFmtId="0" fontId="25" fillId="0" borderId="0" xfId="0" applyFont="1" applyAlignment="1">
      <alignment horizontal="right"/>
    </xf>
    <xf numFmtId="164" fontId="23" fillId="0" borderId="23" xfId="0" applyNumberFormat="1" applyFont="1" applyBorder="1"/>
    <xf numFmtId="9" fontId="23" fillId="0" borderId="23" xfId="43" applyFont="1" applyBorder="1"/>
    <xf numFmtId="2" fontId="24" fillId="36" borderId="0" xfId="0" applyNumberFormat="1" applyFont="1" applyFill="1" applyBorder="1" applyAlignment="1" applyProtection="1">
      <alignment wrapText="1"/>
    </xf>
    <xf numFmtId="0" fontId="25" fillId="0" borderId="17" xfId="0" applyFont="1" applyBorder="1" applyAlignment="1" applyProtection="1">
      <alignment horizontal="center" vertical="center"/>
    </xf>
    <xf numFmtId="0" fontId="0" fillId="37" borderId="0" xfId="0" applyFill="1" applyBorder="1" applyAlignment="1" applyProtection="1">
      <alignment vertical="top" wrapText="1"/>
    </xf>
    <xf numFmtId="0" fontId="22" fillId="37" borderId="0" xfId="0" applyFont="1" applyFill="1" applyBorder="1" applyAlignment="1" applyProtection="1"/>
    <xf numFmtId="0" fontId="16" fillId="37" borderId="0" xfId="0" applyFont="1" applyFill="1" applyBorder="1" applyAlignment="1" applyProtection="1"/>
    <xf numFmtId="0" fontId="22" fillId="0" borderId="0" xfId="0" applyFont="1" applyBorder="1" applyAlignment="1" applyProtection="1">
      <alignment horizontal="center"/>
    </xf>
    <xf numFmtId="164" fontId="19" fillId="0" borderId="0" xfId="0" applyNumberFormat="1" applyFont="1" applyBorder="1" applyProtection="1"/>
    <xf numFmtId="0" fontId="19" fillId="33" borderId="19" xfId="0" applyFont="1" applyFill="1" applyBorder="1" applyAlignment="1" applyProtection="1">
      <alignment horizontal="left"/>
      <protection locked="0"/>
    </xf>
    <xf numFmtId="164" fontId="19" fillId="0" borderId="36" xfId="0" applyNumberFormat="1" applyFont="1" applyBorder="1" applyProtection="1"/>
    <xf numFmtId="12" fontId="19" fillId="35" borderId="35" xfId="0" applyNumberFormat="1" applyFont="1" applyFill="1" applyBorder="1" applyAlignment="1" applyProtection="1">
      <alignment horizontal="center"/>
    </xf>
    <xf numFmtId="0" fontId="19" fillId="35" borderId="11" xfId="0" applyFont="1" applyFill="1" applyBorder="1" applyAlignment="1" applyProtection="1">
      <alignment horizontal="center"/>
    </xf>
    <xf numFmtId="0" fontId="22" fillId="37" borderId="0" xfId="0" applyFont="1" applyFill="1" applyBorder="1" applyAlignment="1" applyProtection="1">
      <alignment vertical="top" wrapText="1"/>
    </xf>
    <xf numFmtId="0" fontId="25" fillId="37" borderId="0" xfId="0" applyFont="1" applyFill="1" applyBorder="1" applyAlignment="1" applyProtection="1">
      <alignment vertical="top" wrapText="1"/>
    </xf>
    <xf numFmtId="9" fontId="22" fillId="37" borderId="0" xfId="0" applyNumberFormat="1" applyFont="1" applyFill="1" applyBorder="1" applyAlignment="1" applyProtection="1"/>
    <xf numFmtId="9" fontId="22" fillId="37" borderId="0" xfId="0" applyNumberFormat="1" applyFont="1" applyFill="1" applyBorder="1" applyAlignment="1" applyProtection="1">
      <alignment vertical="top" wrapText="1"/>
    </xf>
    <xf numFmtId="9" fontId="25" fillId="37" borderId="0" xfId="0" applyNumberFormat="1" applyFont="1" applyFill="1" applyBorder="1" applyAlignment="1" applyProtection="1">
      <alignment vertical="top" wrapText="1"/>
    </xf>
    <xf numFmtId="9" fontId="0" fillId="0" borderId="0" xfId="43" applyFont="1"/>
    <xf numFmtId="44" fontId="0" fillId="0" borderId="0" xfId="44" applyFont="1"/>
    <xf numFmtId="0" fontId="0" fillId="0" borderId="35" xfId="0" applyBorder="1"/>
    <xf numFmtId="0" fontId="0" fillId="0" borderId="11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28" xfId="0" applyFill="1" applyBorder="1"/>
    <xf numFmtId="0" fontId="0" fillId="0" borderId="30" xfId="0" applyFill="1" applyBorder="1"/>
    <xf numFmtId="0" fontId="0" fillId="0" borderId="31" xfId="0" applyFill="1" applyBorder="1"/>
    <xf numFmtId="44" fontId="16" fillId="0" borderId="10" xfId="44" applyFont="1" applyBorder="1"/>
    <xf numFmtId="9" fontId="0" fillId="0" borderId="11" xfId="43" applyFont="1" applyBorder="1" applyAlignment="1">
      <alignment horizontal="center"/>
    </xf>
    <xf numFmtId="0" fontId="0" fillId="0" borderId="0" xfId="0"/>
    <xf numFmtId="0" fontId="16" fillId="0" borderId="18" xfId="0" applyFont="1" applyBorder="1"/>
    <xf numFmtId="0" fontId="0" fillId="0" borderId="11" xfId="0" applyBorder="1"/>
    <xf numFmtId="0" fontId="0" fillId="0" borderId="25" xfId="0" applyBorder="1"/>
    <xf numFmtId="0" fontId="0" fillId="0" borderId="26" xfId="0" applyBorder="1"/>
    <xf numFmtId="0" fontId="0" fillId="0" borderId="28" xfId="0" applyBorder="1"/>
    <xf numFmtId="0" fontId="0" fillId="0" borderId="30" xfId="0" applyBorder="1"/>
    <xf numFmtId="0" fontId="0" fillId="0" borderId="31" xfId="0" applyBorder="1"/>
    <xf numFmtId="0" fontId="0" fillId="0" borderId="33" xfId="0" applyBorder="1"/>
    <xf numFmtId="0" fontId="0" fillId="0" borderId="19" xfId="0" applyBorder="1"/>
    <xf numFmtId="1" fontId="0" fillId="0" borderId="11" xfId="0" applyNumberFormat="1" applyBorder="1"/>
    <xf numFmtId="2" fontId="0" fillId="0" borderId="11" xfId="0" applyNumberFormat="1" applyBorder="1"/>
    <xf numFmtId="8" fontId="0" fillId="0" borderId="11" xfId="0" applyNumberFormat="1" applyBorder="1"/>
    <xf numFmtId="9" fontId="0" fillId="0" borderId="26" xfId="43" applyFont="1" applyBorder="1"/>
    <xf numFmtId="9" fontId="16" fillId="0" borderId="18" xfId="43" applyFont="1" applyBorder="1"/>
    <xf numFmtId="9" fontId="0" fillId="0" borderId="11" xfId="43" applyFont="1" applyBorder="1"/>
    <xf numFmtId="9" fontId="0" fillId="0" borderId="31" xfId="43" applyFont="1" applyBorder="1"/>
    <xf numFmtId="1" fontId="0" fillId="0" borderId="26" xfId="0" applyNumberFormat="1" applyBorder="1"/>
    <xf numFmtId="44" fontId="16" fillId="0" borderId="18" xfId="44" applyFont="1" applyBorder="1"/>
    <xf numFmtId="44" fontId="0" fillId="0" borderId="26" xfId="44" applyFont="1" applyBorder="1"/>
    <xf numFmtId="44" fontId="0" fillId="0" borderId="11" xfId="44" applyFont="1" applyBorder="1"/>
    <xf numFmtId="44" fontId="0" fillId="0" borderId="31" xfId="44" applyFont="1" applyBorder="1"/>
    <xf numFmtId="44" fontId="0" fillId="0" borderId="27" xfId="44" applyFont="1" applyBorder="1"/>
    <xf numFmtId="44" fontId="0" fillId="0" borderId="29" xfId="44" applyFont="1" applyBorder="1"/>
    <xf numFmtId="44" fontId="0" fillId="0" borderId="19" xfId="44" applyFont="1" applyBorder="1"/>
    <xf numFmtId="44" fontId="0" fillId="0" borderId="27" xfId="0" applyNumberFormat="1" applyBorder="1"/>
    <xf numFmtId="0" fontId="0" fillId="37" borderId="28" xfId="0" applyFill="1" applyBorder="1"/>
    <xf numFmtId="0" fontId="0" fillId="37" borderId="11" xfId="0" applyFill="1" applyBorder="1"/>
    <xf numFmtId="9" fontId="0" fillId="37" borderId="11" xfId="43" applyFont="1" applyFill="1" applyBorder="1"/>
    <xf numFmtId="8" fontId="0" fillId="0" borderId="26" xfId="44" applyNumberFormat="1" applyFont="1" applyBorder="1"/>
    <xf numFmtId="8" fontId="0" fillId="0" borderId="35" xfId="44" applyNumberFormat="1" applyFont="1" applyBorder="1"/>
    <xf numFmtId="8" fontId="0" fillId="0" borderId="11" xfId="44" applyNumberFormat="1" applyFont="1" applyBorder="1"/>
    <xf numFmtId="8" fontId="0" fillId="0" borderId="19" xfId="44" applyNumberFormat="1" applyFont="1" applyBorder="1"/>
    <xf numFmtId="8" fontId="0" fillId="0" borderId="31" xfId="44" applyNumberFormat="1" applyFont="1" applyBorder="1"/>
    <xf numFmtId="2" fontId="23" fillId="0" borderId="23" xfId="43" applyNumberFormat="1" applyFont="1" applyBorder="1"/>
    <xf numFmtId="0" fontId="27" fillId="37" borderId="0" xfId="0" applyFont="1" applyFill="1" applyBorder="1" applyAlignment="1" applyProtection="1">
      <alignment vertical="top" wrapText="1"/>
    </xf>
    <xf numFmtId="9" fontId="27" fillId="37" borderId="0" xfId="0" applyNumberFormat="1" applyFont="1" applyFill="1" applyBorder="1" applyAlignment="1" applyProtection="1">
      <alignment vertical="top" wrapText="1"/>
    </xf>
    <xf numFmtId="0" fontId="22" fillId="0" borderId="21" xfId="0" applyFont="1" applyBorder="1" applyAlignment="1" applyProtection="1">
      <alignment horizontal="right"/>
    </xf>
    <xf numFmtId="0" fontId="25" fillId="39" borderId="17" xfId="0" applyFont="1" applyFill="1" applyBorder="1" applyAlignment="1" applyProtection="1">
      <alignment horizontal="center" vertical="center"/>
    </xf>
    <xf numFmtId="0" fontId="22" fillId="39" borderId="19" xfId="0" applyFont="1" applyFill="1" applyBorder="1" applyAlignment="1" applyProtection="1">
      <alignment horizontal="center"/>
    </xf>
    <xf numFmtId="0" fontId="20" fillId="38" borderId="40" xfId="42" applyFill="1" applyBorder="1" applyAlignment="1" applyProtection="1">
      <alignment horizontal="left"/>
    </xf>
    <xf numFmtId="0" fontId="21" fillId="0" borderId="37" xfId="42" applyFont="1" applyBorder="1" applyAlignment="1" applyProtection="1"/>
    <xf numFmtId="0" fontId="21" fillId="0" borderId="0" xfId="42" applyFont="1" applyBorder="1" applyAlignment="1" applyProtection="1"/>
    <xf numFmtId="0" fontId="0" fillId="0" borderId="42" xfId="0" applyBorder="1"/>
    <xf numFmtId="44" fontId="0" fillId="33" borderId="27" xfId="44" applyFont="1" applyFill="1" applyBorder="1"/>
    <xf numFmtId="44" fontId="0" fillId="37" borderId="29" xfId="44" applyFont="1" applyFill="1" applyBorder="1"/>
    <xf numFmtId="44" fontId="0" fillId="0" borderId="32" xfId="44" applyFont="1" applyBorder="1"/>
    <xf numFmtId="44" fontId="0" fillId="0" borderId="34" xfId="44" applyFont="1" applyBorder="1"/>
    <xf numFmtId="44" fontId="0" fillId="33" borderId="29" xfId="44" applyFont="1" applyFill="1" applyBorder="1"/>
    <xf numFmtId="44" fontId="0" fillId="0" borderId="44" xfId="0" applyNumberFormat="1" applyBorder="1"/>
    <xf numFmtId="44" fontId="0" fillId="0" borderId="32" xfId="0" applyNumberFormat="1" applyBorder="1"/>
    <xf numFmtId="0" fontId="24" fillId="36" borderId="12" xfId="0" applyFont="1" applyFill="1" applyBorder="1" applyAlignment="1" applyProtection="1">
      <alignment horizontal="left"/>
    </xf>
    <xf numFmtId="0" fontId="24" fillId="36" borderId="18" xfId="0" applyFont="1" applyFill="1" applyBorder="1" applyAlignment="1" applyProtection="1">
      <alignment horizontal="left"/>
    </xf>
    <xf numFmtId="0" fontId="19" fillId="35" borderId="20" xfId="0" applyFont="1" applyFill="1" applyBorder="1" applyAlignment="1" applyProtection="1">
      <alignment horizontal="left"/>
    </xf>
    <xf numFmtId="0" fontId="19" fillId="35" borderId="0" xfId="0" applyFont="1" applyFill="1" applyBorder="1" applyAlignment="1" applyProtection="1">
      <alignment wrapText="1"/>
    </xf>
    <xf numFmtId="0" fontId="19" fillId="35" borderId="22" xfId="0" applyFont="1" applyFill="1" applyBorder="1" applyAlignment="1" applyProtection="1">
      <alignment wrapText="1"/>
    </xf>
    <xf numFmtId="0" fontId="20" fillId="38" borderId="38" xfId="42" applyFill="1" applyBorder="1" applyAlignment="1" applyProtection="1">
      <alignment horizontal="center"/>
    </xf>
    <xf numFmtId="0" fontId="20" fillId="38" borderId="41" xfId="42" applyFill="1" applyBorder="1" applyAlignment="1" applyProtection="1">
      <alignment horizontal="center"/>
    </xf>
    <xf numFmtId="0" fontId="0" fillId="0" borderId="16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24" fillId="36" borderId="20" xfId="0" applyFont="1" applyFill="1" applyBorder="1" applyAlignment="1" applyProtection="1">
      <alignment horizontal="left"/>
    </xf>
    <xf numFmtId="0" fontId="24" fillId="36" borderId="0" xfId="0" applyFont="1" applyFill="1" applyBorder="1" applyAlignment="1" applyProtection="1">
      <alignment horizontal="left"/>
    </xf>
    <xf numFmtId="9" fontId="24" fillId="36" borderId="0" xfId="43" applyFont="1" applyFill="1" applyBorder="1" applyAlignment="1" applyProtection="1">
      <alignment wrapText="1"/>
    </xf>
    <xf numFmtId="0" fontId="19" fillId="35" borderId="22" xfId="0" applyFont="1" applyFill="1" applyBorder="1" applyAlignment="1" applyProtection="1">
      <alignment horizontal="left"/>
    </xf>
    <xf numFmtId="0" fontId="19" fillId="35" borderId="20" xfId="0" applyFont="1" applyFill="1" applyBorder="1" applyAlignment="1" applyProtection="1">
      <alignment horizontal="left"/>
    </xf>
    <xf numFmtId="0" fontId="19" fillId="35" borderId="22" xfId="0" applyFont="1" applyFill="1" applyBorder="1" applyAlignment="1" applyProtection="1">
      <alignment horizontal="left"/>
    </xf>
    <xf numFmtId="0" fontId="19" fillId="35" borderId="24" xfId="0" applyFont="1" applyFill="1" applyBorder="1" applyAlignment="1" applyProtection="1">
      <alignment wrapText="1"/>
    </xf>
    <xf numFmtId="0" fontId="19" fillId="35" borderId="17" xfId="0" applyFont="1" applyFill="1" applyBorder="1" applyAlignment="1" applyProtection="1">
      <alignment wrapText="1"/>
    </xf>
    <xf numFmtId="9" fontId="24" fillId="36" borderId="20" xfId="43" applyFont="1" applyFill="1" applyBorder="1" applyAlignment="1" applyProtection="1">
      <alignment horizontal="center" wrapText="1"/>
    </xf>
    <xf numFmtId="9" fontId="24" fillId="36" borderId="22" xfId="43" applyFont="1" applyFill="1" applyBorder="1" applyAlignment="1" applyProtection="1">
      <alignment horizontal="center" wrapText="1"/>
    </xf>
    <xf numFmtId="9" fontId="24" fillId="36" borderId="0" xfId="43" applyFont="1" applyFill="1" applyBorder="1" applyAlignment="1" applyProtection="1">
      <alignment wrapText="1"/>
    </xf>
    <xf numFmtId="9" fontId="24" fillId="36" borderId="22" xfId="43" applyFont="1" applyFill="1" applyBorder="1" applyAlignment="1" applyProtection="1">
      <alignment wrapText="1"/>
    </xf>
    <xf numFmtId="0" fontId="19" fillId="35" borderId="0" xfId="0" applyFont="1" applyFill="1" applyBorder="1" applyAlignment="1" applyProtection="1">
      <alignment wrapText="1"/>
    </xf>
    <xf numFmtId="0" fontId="19" fillId="35" borderId="22" xfId="0" applyFont="1" applyFill="1" applyBorder="1" applyAlignment="1" applyProtection="1">
      <alignment wrapText="1"/>
    </xf>
    <xf numFmtId="9" fontId="24" fillId="36" borderId="18" xfId="43" applyFont="1" applyFill="1" applyBorder="1" applyAlignment="1" applyProtection="1">
      <alignment wrapText="1"/>
    </xf>
    <xf numFmtId="9" fontId="24" fillId="36" borderId="13" xfId="43" applyFont="1" applyFill="1" applyBorder="1" applyAlignment="1" applyProtection="1">
      <alignment wrapText="1"/>
    </xf>
    <xf numFmtId="0" fontId="26" fillId="0" borderId="0" xfId="0" applyFont="1" applyBorder="1" applyAlignment="1">
      <alignment horizontal="center"/>
    </xf>
    <xf numFmtId="0" fontId="26" fillId="0" borderId="38" xfId="0" applyFont="1" applyBorder="1" applyAlignment="1">
      <alignment horizontal="center"/>
    </xf>
    <xf numFmtId="0" fontId="18" fillId="0" borderId="43" xfId="0" applyFont="1" applyBorder="1" applyAlignment="1" applyProtection="1">
      <alignment horizontal="center" vertical="center"/>
    </xf>
    <xf numFmtId="0" fontId="20" fillId="0" borderId="43" xfId="42" applyBorder="1" applyAlignment="1" applyProtection="1">
      <alignment horizontal="center"/>
    </xf>
    <xf numFmtId="0" fontId="22" fillId="39" borderId="12" xfId="0" applyFont="1" applyFill="1" applyBorder="1" applyAlignment="1" applyProtection="1">
      <alignment horizontal="center" vertical="center"/>
    </xf>
    <xf numFmtId="0" fontId="22" fillId="39" borderId="13" xfId="0" applyFont="1" applyFill="1" applyBorder="1" applyAlignment="1" applyProtection="1">
      <alignment horizontal="center" vertical="center"/>
    </xf>
    <xf numFmtId="0" fontId="22" fillId="39" borderId="16" xfId="0" applyFont="1" applyFill="1" applyBorder="1" applyAlignment="1" applyProtection="1">
      <alignment horizontal="center" vertical="center"/>
    </xf>
    <xf numFmtId="0" fontId="22" fillId="39" borderId="17" xfId="0" applyFont="1" applyFill="1" applyBorder="1" applyAlignment="1" applyProtection="1">
      <alignment horizontal="center" vertical="center"/>
    </xf>
    <xf numFmtId="0" fontId="22" fillId="39" borderId="14" xfId="0" applyFont="1" applyFill="1" applyBorder="1" applyAlignment="1" applyProtection="1">
      <alignment horizontal="center"/>
    </xf>
    <xf numFmtId="0" fontId="22" fillId="39" borderId="15" xfId="0" applyFont="1" applyFill="1" applyBorder="1" applyAlignment="1" applyProtection="1">
      <alignment horizontal="center"/>
    </xf>
    <xf numFmtId="0" fontId="28" fillId="39" borderId="14" xfId="0" applyFont="1" applyFill="1" applyBorder="1" applyAlignment="1" applyProtection="1">
      <alignment horizontal="center"/>
    </xf>
    <xf numFmtId="0" fontId="28" fillId="39" borderId="39" xfId="0" applyFont="1" applyFill="1" applyBorder="1" applyAlignment="1" applyProtection="1">
      <alignment horizontal="center"/>
    </xf>
    <xf numFmtId="0" fontId="28" fillId="39" borderId="15" xfId="0" applyFont="1" applyFill="1" applyBorder="1" applyAlignment="1" applyProtection="1">
      <alignment horizontal="center"/>
    </xf>
    <xf numFmtId="0" fontId="24" fillId="36" borderId="20" xfId="0" applyFont="1" applyFill="1" applyBorder="1" applyAlignment="1" applyProtection="1">
      <alignment horizontal="left"/>
    </xf>
    <xf numFmtId="0" fontId="24" fillId="36" borderId="0" xfId="0" applyFont="1" applyFill="1" applyBorder="1" applyAlignment="1" applyProtection="1">
      <alignment horizontal="left"/>
    </xf>
    <xf numFmtId="0" fontId="19" fillId="35" borderId="0" xfId="0" applyFont="1" applyFill="1" applyBorder="1" applyAlignment="1" applyProtection="1">
      <alignment horizontal="left"/>
    </xf>
    <xf numFmtId="0" fontId="20" fillId="38" borderId="40" xfId="42" applyFill="1" applyBorder="1" applyAlignment="1" applyProtection="1">
      <alignment horizontal="center"/>
    </xf>
    <xf numFmtId="0" fontId="20" fillId="38" borderId="38" xfId="42" applyFill="1" applyBorder="1" applyAlignment="1" applyProtection="1">
      <alignment horizontal="center"/>
    </xf>
    <xf numFmtId="0" fontId="20" fillId="38" borderId="41" xfId="42" applyFill="1" applyBorder="1" applyAlignment="1" applyProtection="1">
      <alignment horizontal="center"/>
    </xf>
    <xf numFmtId="0" fontId="22" fillId="34" borderId="12" xfId="0" applyFont="1" applyFill="1" applyBorder="1" applyAlignment="1" applyProtection="1">
      <alignment horizontal="center" vertical="center"/>
    </xf>
    <xf numFmtId="0" fontId="0" fillId="34" borderId="13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22" fillId="34" borderId="14" xfId="0" applyFont="1" applyFill="1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39" borderId="16" xfId="0" applyFill="1" applyBorder="1" applyAlignment="1" applyProtection="1">
      <alignment horizontal="center" vertical="center"/>
    </xf>
    <xf numFmtId="0" fontId="0" fillId="39" borderId="17" xfId="0" applyFill="1" applyBorder="1" applyAlignment="1" applyProtection="1">
      <alignment horizontal="center" vertical="center"/>
    </xf>
    <xf numFmtId="0" fontId="24" fillId="36" borderId="12" xfId="0" applyFont="1" applyFill="1" applyBorder="1" applyAlignment="1" applyProtection="1">
      <alignment horizontal="left"/>
    </xf>
    <xf numFmtId="0" fontId="24" fillId="36" borderId="18" xfId="0" applyFont="1" applyFill="1" applyBorder="1" applyAlignment="1" applyProtection="1">
      <alignment horizontal="left"/>
    </xf>
    <xf numFmtId="0" fontId="18" fillId="0" borderId="38" xfId="0" applyFont="1" applyBorder="1" applyAlignment="1" applyProtection="1">
      <alignment horizontal="center" vertical="center"/>
    </xf>
    <xf numFmtId="0" fontId="20" fillId="0" borderId="38" xfId="42" applyBorder="1" applyAlignment="1" applyProtection="1">
      <alignment horizontal="center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4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raditionaloven.com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traditionaloven.com/" TargetMode="External"/><Relationship Id="rId1" Type="http://schemas.openxmlformats.org/officeDocument/2006/relationships/hyperlink" Target="https://www.traditionaloven.com/" TargetMode="External"/><Relationship Id="rId6" Type="http://schemas.openxmlformats.org/officeDocument/2006/relationships/hyperlink" Target="http://www.onlineconversion.com/weight_volume_cooking.htm" TargetMode="External"/><Relationship Id="rId5" Type="http://schemas.openxmlformats.org/officeDocument/2006/relationships/hyperlink" Target="http://www.onlineconversion.com/weight_volume_cooking.htm" TargetMode="External"/><Relationship Id="rId4" Type="http://schemas.openxmlformats.org/officeDocument/2006/relationships/hyperlink" Target="http://www.onlineconversion.com/weight_volume_cooking.ht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raditionaloven.com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traditionaloven.com/" TargetMode="External"/><Relationship Id="rId1" Type="http://schemas.openxmlformats.org/officeDocument/2006/relationships/hyperlink" Target="https://www.traditionaloven.com/" TargetMode="External"/><Relationship Id="rId6" Type="http://schemas.openxmlformats.org/officeDocument/2006/relationships/hyperlink" Target="http://www.onlineconversion.com/weight_volume_cooking.htm" TargetMode="External"/><Relationship Id="rId5" Type="http://schemas.openxmlformats.org/officeDocument/2006/relationships/hyperlink" Target="http://www.onlineconversion.com/weight_volume_cooking.htm" TargetMode="External"/><Relationship Id="rId4" Type="http://schemas.openxmlformats.org/officeDocument/2006/relationships/hyperlink" Target="http://www.onlineconversion.com/weight_volume_cooking.ht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raditionaloven.com/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traditionaloven.com/" TargetMode="External"/><Relationship Id="rId1" Type="http://schemas.openxmlformats.org/officeDocument/2006/relationships/hyperlink" Target="https://www.traditionaloven.com/" TargetMode="External"/><Relationship Id="rId6" Type="http://schemas.openxmlformats.org/officeDocument/2006/relationships/hyperlink" Target="http://www.onlineconversion.com/weight_volume_cooking.htm" TargetMode="External"/><Relationship Id="rId5" Type="http://schemas.openxmlformats.org/officeDocument/2006/relationships/hyperlink" Target="http://www.onlineconversion.com/weight_volume_cooking.htm" TargetMode="External"/><Relationship Id="rId4" Type="http://schemas.openxmlformats.org/officeDocument/2006/relationships/hyperlink" Target="http://www.onlineconversion.com/weight_volume_cooking.ht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raditionaloven.com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traditionaloven.com/" TargetMode="External"/><Relationship Id="rId1" Type="http://schemas.openxmlformats.org/officeDocument/2006/relationships/hyperlink" Target="https://www.traditionaloven.com/" TargetMode="External"/><Relationship Id="rId6" Type="http://schemas.openxmlformats.org/officeDocument/2006/relationships/hyperlink" Target="http://www.onlineconversion.com/weight_volume_cooking.htm" TargetMode="External"/><Relationship Id="rId5" Type="http://schemas.openxmlformats.org/officeDocument/2006/relationships/hyperlink" Target="http://www.onlineconversion.com/weight_volume_cooking.htm" TargetMode="External"/><Relationship Id="rId4" Type="http://schemas.openxmlformats.org/officeDocument/2006/relationships/hyperlink" Target="http://www.onlineconversion.com/weight_volume_cooking.ht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onlineconversion.com/weight_volume_cooking.htm" TargetMode="External"/><Relationship Id="rId2" Type="http://schemas.openxmlformats.org/officeDocument/2006/relationships/hyperlink" Target="https://www.traditionaloven.com/" TargetMode="External"/><Relationship Id="rId1" Type="http://schemas.openxmlformats.org/officeDocument/2006/relationships/hyperlink" Target="https://www.traditionaloven.com/" TargetMode="External"/><Relationship Id="rId5" Type="http://schemas.openxmlformats.org/officeDocument/2006/relationships/hyperlink" Target="http://www.onlineconversion.com/weight_volume_cooking.htm" TargetMode="External"/><Relationship Id="rId4" Type="http://schemas.openxmlformats.org/officeDocument/2006/relationships/hyperlink" Target="http://www.onlineconversion.com/weight_volume_cooking.ht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raditionaloven.com/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s://www.traditionaloven.com/" TargetMode="External"/><Relationship Id="rId1" Type="http://schemas.openxmlformats.org/officeDocument/2006/relationships/hyperlink" Target="https://www.traditionaloven.com/" TargetMode="External"/><Relationship Id="rId6" Type="http://schemas.openxmlformats.org/officeDocument/2006/relationships/hyperlink" Target="http://www.onlineconversion.com/weight_volume_cooking.htm" TargetMode="External"/><Relationship Id="rId5" Type="http://schemas.openxmlformats.org/officeDocument/2006/relationships/hyperlink" Target="http://www.onlineconversion.com/weight_volume_cooking.htm" TargetMode="External"/><Relationship Id="rId4" Type="http://schemas.openxmlformats.org/officeDocument/2006/relationships/hyperlink" Target="http://www.onlineconversion.com/weight_volume_cooking.ht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7C469-563C-445B-9421-0CEE39872B86}">
  <sheetPr codeName="Sheet1"/>
  <dimension ref="A1:C168"/>
  <sheetViews>
    <sheetView tabSelected="1" workbookViewId="0"/>
  </sheetViews>
  <sheetFormatPr defaultRowHeight="14.5" x14ac:dyDescent="0.35"/>
  <cols>
    <col min="1" max="1" width="21.08984375" bestFit="1" customWidth="1"/>
    <col min="2" max="2" width="84.54296875" bestFit="1" customWidth="1"/>
    <col min="3" max="3" width="5.81640625" bestFit="1" customWidth="1"/>
  </cols>
  <sheetData>
    <row r="1" spans="1:3" x14ac:dyDescent="0.35">
      <c r="A1" t="s">
        <v>1327</v>
      </c>
      <c r="B1" t="s">
        <v>1325</v>
      </c>
      <c r="C1" t="s">
        <v>1326</v>
      </c>
    </row>
    <row r="4" spans="1:3" x14ac:dyDescent="0.35">
      <c r="A4" t="s">
        <v>0</v>
      </c>
    </row>
    <row r="5" spans="1:3" x14ac:dyDescent="0.35">
      <c r="A5" t="s">
        <v>0</v>
      </c>
    </row>
    <row r="6" spans="1:3" x14ac:dyDescent="0.35">
      <c r="A6" t="s">
        <v>0</v>
      </c>
    </row>
    <row r="7" spans="1:3" x14ac:dyDescent="0.35">
      <c r="A7" t="s">
        <v>0</v>
      </c>
    </row>
    <row r="8" spans="1:3" x14ac:dyDescent="0.35">
      <c r="A8" t="s">
        <v>0</v>
      </c>
    </row>
    <row r="9" spans="1:3" x14ac:dyDescent="0.35">
      <c r="A9" t="s">
        <v>0</v>
      </c>
    </row>
    <row r="10" spans="1:3" x14ac:dyDescent="0.35">
      <c r="A10" t="s">
        <v>0</v>
      </c>
    </row>
    <row r="11" spans="1:3" x14ac:dyDescent="0.35">
      <c r="A11" t="s">
        <v>0</v>
      </c>
    </row>
    <row r="12" spans="1:3" x14ac:dyDescent="0.35">
      <c r="A12" t="s">
        <v>0</v>
      </c>
      <c r="B12" t="s">
        <v>26</v>
      </c>
    </row>
    <row r="13" spans="1:3" x14ac:dyDescent="0.35">
      <c r="A13" t="s">
        <v>0</v>
      </c>
    </row>
    <row r="14" spans="1:3" x14ac:dyDescent="0.35">
      <c r="A14" t="s">
        <v>0</v>
      </c>
    </row>
    <row r="15" spans="1:3" x14ac:dyDescent="0.35">
      <c r="A15" t="s">
        <v>0</v>
      </c>
    </row>
    <row r="16" spans="1:3" x14ac:dyDescent="0.35">
      <c r="A16" t="s">
        <v>0</v>
      </c>
      <c r="B16" t="s">
        <v>27</v>
      </c>
    </row>
    <row r="17" spans="1:3" x14ac:dyDescent="0.35">
      <c r="A17" t="s">
        <v>0</v>
      </c>
      <c r="B17" t="s">
        <v>28</v>
      </c>
      <c r="C17">
        <v>1</v>
      </c>
    </row>
    <row r="18" spans="1:3" x14ac:dyDescent="0.35">
      <c r="A18" t="s">
        <v>0</v>
      </c>
    </row>
    <row r="19" spans="1:3" x14ac:dyDescent="0.35">
      <c r="A19" t="s">
        <v>0</v>
      </c>
      <c r="B19" t="s">
        <v>30</v>
      </c>
    </row>
    <row r="20" spans="1:3" x14ac:dyDescent="0.35">
      <c r="A20" t="s">
        <v>0</v>
      </c>
      <c r="B20" t="s">
        <v>31</v>
      </c>
      <c r="C20">
        <v>0.25</v>
      </c>
    </row>
    <row r="21" spans="1:3" x14ac:dyDescent="0.35">
      <c r="A21" t="s">
        <v>0</v>
      </c>
      <c r="B21" t="s">
        <v>32</v>
      </c>
      <c r="C21">
        <v>0.5</v>
      </c>
    </row>
    <row r="22" spans="1:3" x14ac:dyDescent="0.35">
      <c r="A22" t="s">
        <v>0</v>
      </c>
      <c r="B22" t="s">
        <v>33</v>
      </c>
      <c r="C22">
        <v>0.25</v>
      </c>
    </row>
    <row r="23" spans="1:3" x14ac:dyDescent="0.35">
      <c r="A23" t="s">
        <v>0</v>
      </c>
    </row>
    <row r="24" spans="1:3" x14ac:dyDescent="0.35">
      <c r="A24" t="s">
        <v>0</v>
      </c>
    </row>
    <row r="25" spans="1:3" x14ac:dyDescent="0.35">
      <c r="A25" t="s">
        <v>0</v>
      </c>
      <c r="B25" t="s">
        <v>34</v>
      </c>
    </row>
    <row r="26" spans="1:3" x14ac:dyDescent="0.35">
      <c r="A26" t="s">
        <v>0</v>
      </c>
    </row>
    <row r="27" spans="1:3" x14ac:dyDescent="0.35">
      <c r="A27" t="s">
        <v>0</v>
      </c>
    </row>
    <row r="28" spans="1:3" x14ac:dyDescent="0.35">
      <c r="A28" t="s">
        <v>0</v>
      </c>
      <c r="B28" t="s">
        <v>35</v>
      </c>
    </row>
    <row r="29" spans="1:3" x14ac:dyDescent="0.35">
      <c r="A29" t="s">
        <v>0</v>
      </c>
      <c r="B29" t="s">
        <v>36</v>
      </c>
      <c r="C29">
        <v>2</v>
      </c>
    </row>
    <row r="30" spans="1:3" x14ac:dyDescent="0.35">
      <c r="A30" t="s">
        <v>0</v>
      </c>
    </row>
    <row r="31" spans="1:3" x14ac:dyDescent="0.35">
      <c r="A31" t="s">
        <v>0</v>
      </c>
      <c r="B31" t="s">
        <v>23</v>
      </c>
    </row>
    <row r="32" spans="1:3" x14ac:dyDescent="0.35">
      <c r="A32" t="s">
        <v>0</v>
      </c>
      <c r="B32" t="s">
        <v>26</v>
      </c>
    </row>
    <row r="33" spans="1:3" x14ac:dyDescent="0.35">
      <c r="A33" t="s">
        <v>0</v>
      </c>
      <c r="B33" t="s">
        <v>27</v>
      </c>
    </row>
    <row r="34" spans="1:3" x14ac:dyDescent="0.35">
      <c r="A34" t="s">
        <v>0</v>
      </c>
      <c r="B34" t="s">
        <v>30</v>
      </c>
    </row>
    <row r="35" spans="1:3" x14ac:dyDescent="0.35">
      <c r="A35" t="s">
        <v>0</v>
      </c>
      <c r="B35" t="s">
        <v>34</v>
      </c>
    </row>
    <row r="36" spans="1:3" x14ac:dyDescent="0.35">
      <c r="A36" t="s">
        <v>0</v>
      </c>
      <c r="B36" t="s">
        <v>35</v>
      </c>
    </row>
    <row r="37" spans="1:3" x14ac:dyDescent="0.35">
      <c r="A37" t="s">
        <v>3</v>
      </c>
    </row>
    <row r="38" spans="1:3" x14ac:dyDescent="0.35">
      <c r="A38" t="s">
        <v>3</v>
      </c>
    </row>
    <row r="39" spans="1:3" x14ac:dyDescent="0.35">
      <c r="A39" t="s">
        <v>3</v>
      </c>
    </row>
    <row r="40" spans="1:3" x14ac:dyDescent="0.35">
      <c r="A40" t="s">
        <v>3</v>
      </c>
    </row>
    <row r="41" spans="1:3" x14ac:dyDescent="0.35">
      <c r="A41" t="s">
        <v>3</v>
      </c>
    </row>
    <row r="42" spans="1:3" x14ac:dyDescent="0.35">
      <c r="A42" t="s">
        <v>3</v>
      </c>
    </row>
    <row r="43" spans="1:3" x14ac:dyDescent="0.35">
      <c r="A43" t="s">
        <v>3</v>
      </c>
    </row>
    <row r="44" spans="1:3" x14ac:dyDescent="0.35">
      <c r="A44" t="s">
        <v>3</v>
      </c>
    </row>
    <row r="45" spans="1:3" x14ac:dyDescent="0.35">
      <c r="A45" t="s">
        <v>3</v>
      </c>
      <c r="B45" t="s">
        <v>26</v>
      </c>
    </row>
    <row r="46" spans="1:3" x14ac:dyDescent="0.35">
      <c r="A46" t="s">
        <v>3</v>
      </c>
      <c r="B46" t="s">
        <v>58</v>
      </c>
      <c r="C46">
        <v>3</v>
      </c>
    </row>
    <row r="47" spans="1:3" x14ac:dyDescent="0.35">
      <c r="A47" t="s">
        <v>3</v>
      </c>
      <c r="B47" t="s">
        <v>59</v>
      </c>
      <c r="C47">
        <v>1</v>
      </c>
    </row>
    <row r="48" spans="1:3" x14ac:dyDescent="0.35">
      <c r="A48" t="s">
        <v>3</v>
      </c>
    </row>
    <row r="49" spans="1:3" x14ac:dyDescent="0.35">
      <c r="A49" t="s">
        <v>3</v>
      </c>
      <c r="B49" t="s">
        <v>27</v>
      </c>
    </row>
    <row r="50" spans="1:3" x14ac:dyDescent="0.35">
      <c r="A50" t="s">
        <v>3</v>
      </c>
      <c r="B50" t="s">
        <v>60</v>
      </c>
      <c r="C50">
        <v>1</v>
      </c>
    </row>
    <row r="51" spans="1:3" x14ac:dyDescent="0.35">
      <c r="A51" t="s">
        <v>3</v>
      </c>
      <c r="B51" t="s">
        <v>61</v>
      </c>
      <c r="C51">
        <v>1</v>
      </c>
    </row>
    <row r="52" spans="1:3" x14ac:dyDescent="0.35">
      <c r="A52" t="s">
        <v>3</v>
      </c>
      <c r="B52" t="s">
        <v>30</v>
      </c>
    </row>
    <row r="53" spans="1:3" x14ac:dyDescent="0.35">
      <c r="A53" t="s">
        <v>3</v>
      </c>
      <c r="B53" t="s">
        <v>62</v>
      </c>
      <c r="C53">
        <v>0.5</v>
      </c>
    </row>
    <row r="54" spans="1:3" x14ac:dyDescent="0.35">
      <c r="A54" t="s">
        <v>3</v>
      </c>
    </row>
    <row r="55" spans="1:3" x14ac:dyDescent="0.35">
      <c r="A55" t="s">
        <v>3</v>
      </c>
    </row>
    <row r="56" spans="1:3" x14ac:dyDescent="0.35">
      <c r="A56" t="s">
        <v>3</v>
      </c>
    </row>
    <row r="57" spans="1:3" x14ac:dyDescent="0.35">
      <c r="A57" t="s">
        <v>3</v>
      </c>
    </row>
    <row r="58" spans="1:3" x14ac:dyDescent="0.35">
      <c r="A58" t="s">
        <v>3</v>
      </c>
      <c r="B58" t="s">
        <v>34</v>
      </c>
    </row>
    <row r="59" spans="1:3" x14ac:dyDescent="0.35">
      <c r="A59" t="s">
        <v>3</v>
      </c>
      <c r="B59" t="s">
        <v>63</v>
      </c>
      <c r="C59">
        <v>1</v>
      </c>
    </row>
    <row r="60" spans="1:3" x14ac:dyDescent="0.35">
      <c r="A60" t="s">
        <v>3</v>
      </c>
    </row>
    <row r="61" spans="1:3" x14ac:dyDescent="0.35">
      <c r="A61" t="s">
        <v>3</v>
      </c>
      <c r="B61" t="s">
        <v>35</v>
      </c>
    </row>
    <row r="62" spans="1:3" x14ac:dyDescent="0.35">
      <c r="A62" t="s">
        <v>3</v>
      </c>
    </row>
    <row r="63" spans="1:3" x14ac:dyDescent="0.35">
      <c r="A63" t="s">
        <v>3</v>
      </c>
    </row>
    <row r="64" spans="1:3" x14ac:dyDescent="0.35">
      <c r="A64" t="s">
        <v>3</v>
      </c>
      <c r="B64" t="s">
        <v>23</v>
      </c>
    </row>
    <row r="65" spans="1:3" x14ac:dyDescent="0.35">
      <c r="A65" t="s">
        <v>3</v>
      </c>
      <c r="B65" t="s">
        <v>26</v>
      </c>
    </row>
    <row r="66" spans="1:3" x14ac:dyDescent="0.35">
      <c r="A66" t="s">
        <v>3</v>
      </c>
      <c r="B66" t="s">
        <v>27</v>
      </c>
    </row>
    <row r="67" spans="1:3" x14ac:dyDescent="0.35">
      <c r="A67" t="s">
        <v>3</v>
      </c>
      <c r="B67" t="s">
        <v>30</v>
      </c>
    </row>
    <row r="68" spans="1:3" x14ac:dyDescent="0.35">
      <c r="A68" t="s">
        <v>3</v>
      </c>
      <c r="B68" t="s">
        <v>34</v>
      </c>
    </row>
    <row r="69" spans="1:3" x14ac:dyDescent="0.35">
      <c r="A69" t="s">
        <v>3</v>
      </c>
      <c r="B69" t="s">
        <v>35</v>
      </c>
    </row>
    <row r="70" spans="1:3" x14ac:dyDescent="0.35">
      <c r="A70" t="s">
        <v>4</v>
      </c>
    </row>
    <row r="71" spans="1:3" x14ac:dyDescent="0.35">
      <c r="A71" t="s">
        <v>4</v>
      </c>
    </row>
    <row r="72" spans="1:3" x14ac:dyDescent="0.35">
      <c r="A72" t="s">
        <v>4</v>
      </c>
    </row>
    <row r="73" spans="1:3" x14ac:dyDescent="0.35">
      <c r="A73" t="s">
        <v>4</v>
      </c>
    </row>
    <row r="74" spans="1:3" x14ac:dyDescent="0.35">
      <c r="A74" t="s">
        <v>4</v>
      </c>
    </row>
    <row r="75" spans="1:3" x14ac:dyDescent="0.35">
      <c r="A75" t="s">
        <v>4</v>
      </c>
    </row>
    <row r="76" spans="1:3" x14ac:dyDescent="0.35">
      <c r="A76" t="s">
        <v>4</v>
      </c>
    </row>
    <row r="77" spans="1:3" x14ac:dyDescent="0.35">
      <c r="A77" t="s">
        <v>4</v>
      </c>
    </row>
    <row r="78" spans="1:3" x14ac:dyDescent="0.35">
      <c r="A78" t="s">
        <v>4</v>
      </c>
      <c r="B78" t="s">
        <v>26</v>
      </c>
    </row>
    <row r="79" spans="1:3" x14ac:dyDescent="0.35">
      <c r="A79" t="s">
        <v>4</v>
      </c>
      <c r="B79" t="s">
        <v>69</v>
      </c>
      <c r="C79">
        <v>24</v>
      </c>
    </row>
    <row r="80" spans="1:3" x14ac:dyDescent="0.35">
      <c r="A80" t="s">
        <v>4</v>
      </c>
    </row>
    <row r="81" spans="1:3" x14ac:dyDescent="0.35">
      <c r="A81" t="s">
        <v>4</v>
      </c>
    </row>
    <row r="82" spans="1:3" x14ac:dyDescent="0.35">
      <c r="A82" t="s">
        <v>4</v>
      </c>
      <c r="B82" t="s">
        <v>27</v>
      </c>
    </row>
    <row r="83" spans="1:3" x14ac:dyDescent="0.35">
      <c r="A83" t="s">
        <v>4</v>
      </c>
      <c r="B83" t="s">
        <v>70</v>
      </c>
      <c r="C83">
        <v>12</v>
      </c>
    </row>
    <row r="84" spans="1:3" x14ac:dyDescent="0.35">
      <c r="A84" t="s">
        <v>4</v>
      </c>
    </row>
    <row r="85" spans="1:3" x14ac:dyDescent="0.35">
      <c r="A85" t="s">
        <v>4</v>
      </c>
      <c r="B85" t="s">
        <v>30</v>
      </c>
    </row>
    <row r="86" spans="1:3" x14ac:dyDescent="0.35">
      <c r="A86" t="s">
        <v>4</v>
      </c>
    </row>
    <row r="87" spans="1:3" x14ac:dyDescent="0.35">
      <c r="A87" t="s">
        <v>4</v>
      </c>
      <c r="B87" t="s">
        <v>71</v>
      </c>
      <c r="C87">
        <v>24</v>
      </c>
    </row>
    <row r="88" spans="1:3" x14ac:dyDescent="0.35">
      <c r="A88" t="s">
        <v>4</v>
      </c>
      <c r="B88" t="s">
        <v>67</v>
      </c>
      <c r="C88">
        <v>24</v>
      </c>
    </row>
    <row r="89" spans="1:3" x14ac:dyDescent="0.35">
      <c r="A89" t="s">
        <v>4</v>
      </c>
    </row>
    <row r="90" spans="1:3" x14ac:dyDescent="0.35">
      <c r="A90" t="s">
        <v>4</v>
      </c>
    </row>
    <row r="91" spans="1:3" x14ac:dyDescent="0.35">
      <c r="A91" t="s">
        <v>4</v>
      </c>
      <c r="B91" t="s">
        <v>34</v>
      </c>
    </row>
    <row r="92" spans="1:3" x14ac:dyDescent="0.35">
      <c r="A92" t="s">
        <v>4</v>
      </c>
      <c r="B92" t="s">
        <v>72</v>
      </c>
      <c r="C92">
        <v>24</v>
      </c>
    </row>
    <row r="93" spans="1:3" x14ac:dyDescent="0.35">
      <c r="A93" t="s">
        <v>4</v>
      </c>
    </row>
    <row r="94" spans="1:3" x14ac:dyDescent="0.35">
      <c r="A94" t="s">
        <v>4</v>
      </c>
      <c r="B94" t="s">
        <v>35</v>
      </c>
    </row>
    <row r="95" spans="1:3" x14ac:dyDescent="0.35">
      <c r="A95" t="s">
        <v>4</v>
      </c>
    </row>
    <row r="96" spans="1:3" x14ac:dyDescent="0.35">
      <c r="A96" t="s">
        <v>4</v>
      </c>
    </row>
    <row r="97" spans="1:3" x14ac:dyDescent="0.35">
      <c r="A97" t="s">
        <v>4</v>
      </c>
      <c r="B97" t="s">
        <v>23</v>
      </c>
    </row>
    <row r="98" spans="1:3" x14ac:dyDescent="0.35">
      <c r="A98" t="s">
        <v>4</v>
      </c>
      <c r="B98" t="s">
        <v>26</v>
      </c>
    </row>
    <row r="99" spans="1:3" x14ac:dyDescent="0.35">
      <c r="A99" t="s">
        <v>4</v>
      </c>
      <c r="B99" t="s">
        <v>27</v>
      </c>
    </row>
    <row r="100" spans="1:3" x14ac:dyDescent="0.35">
      <c r="A100" t="s">
        <v>4</v>
      </c>
      <c r="B100" t="s">
        <v>30</v>
      </c>
    </row>
    <row r="101" spans="1:3" x14ac:dyDescent="0.35">
      <c r="A101" t="s">
        <v>4</v>
      </c>
      <c r="B101" t="s">
        <v>34</v>
      </c>
    </row>
    <row r="102" spans="1:3" x14ac:dyDescent="0.35">
      <c r="A102" t="s">
        <v>4</v>
      </c>
      <c r="B102" t="s">
        <v>35</v>
      </c>
    </row>
    <row r="103" spans="1:3" x14ac:dyDescent="0.35">
      <c r="A103" t="s">
        <v>81</v>
      </c>
      <c r="B103" t="s">
        <v>82</v>
      </c>
      <c r="C103">
        <v>1.25</v>
      </c>
    </row>
    <row r="104" spans="1:3" x14ac:dyDescent="0.35">
      <c r="A104" t="s">
        <v>81</v>
      </c>
      <c r="B104" t="s">
        <v>83</v>
      </c>
      <c r="C104">
        <v>2.75</v>
      </c>
    </row>
    <row r="105" spans="1:3" x14ac:dyDescent="0.35">
      <c r="A105" t="s">
        <v>81</v>
      </c>
      <c r="B105" t="s">
        <v>84</v>
      </c>
      <c r="C105">
        <v>2.5000000000000001E-2</v>
      </c>
    </row>
    <row r="106" spans="1:3" x14ac:dyDescent="0.35">
      <c r="A106" t="s">
        <v>81</v>
      </c>
      <c r="B106" t="s">
        <v>48</v>
      </c>
      <c r="C106">
        <v>0.5</v>
      </c>
    </row>
    <row r="107" spans="1:3" x14ac:dyDescent="0.35">
      <c r="A107" t="s">
        <v>81</v>
      </c>
      <c r="B107" t="s">
        <v>85</v>
      </c>
      <c r="C107">
        <v>8.5</v>
      </c>
    </row>
    <row r="108" spans="1:3" x14ac:dyDescent="0.35">
      <c r="A108" t="s">
        <v>81</v>
      </c>
      <c r="B108" t="s">
        <v>74</v>
      </c>
      <c r="C108">
        <v>0.5</v>
      </c>
    </row>
    <row r="109" spans="1:3" x14ac:dyDescent="0.35">
      <c r="A109" t="s">
        <v>81</v>
      </c>
    </row>
    <row r="110" spans="1:3" x14ac:dyDescent="0.35">
      <c r="A110" t="s">
        <v>81</v>
      </c>
    </row>
    <row r="111" spans="1:3" x14ac:dyDescent="0.35">
      <c r="A111" t="s">
        <v>81</v>
      </c>
      <c r="B111" t="s">
        <v>26</v>
      </c>
    </row>
    <row r="112" spans="1:3" x14ac:dyDescent="0.35">
      <c r="A112" t="s">
        <v>81</v>
      </c>
    </row>
    <row r="113" spans="1:3" x14ac:dyDescent="0.35">
      <c r="A113" t="s">
        <v>81</v>
      </c>
    </row>
    <row r="114" spans="1:3" x14ac:dyDescent="0.35">
      <c r="A114" t="s">
        <v>81</v>
      </c>
    </row>
    <row r="115" spans="1:3" x14ac:dyDescent="0.35">
      <c r="A115" t="s">
        <v>81</v>
      </c>
      <c r="B115" t="s">
        <v>27</v>
      </c>
    </row>
    <row r="116" spans="1:3" x14ac:dyDescent="0.35">
      <c r="A116" t="s">
        <v>81</v>
      </c>
    </row>
    <row r="117" spans="1:3" x14ac:dyDescent="0.35">
      <c r="A117" t="s">
        <v>81</v>
      </c>
    </row>
    <row r="118" spans="1:3" x14ac:dyDescent="0.35">
      <c r="A118" t="s">
        <v>81</v>
      </c>
      <c r="B118" t="s">
        <v>30</v>
      </c>
    </row>
    <row r="119" spans="1:3" x14ac:dyDescent="0.35">
      <c r="A119" t="s">
        <v>81</v>
      </c>
      <c r="B119" t="s">
        <v>86</v>
      </c>
      <c r="C119">
        <v>5.25</v>
      </c>
    </row>
    <row r="120" spans="1:3" x14ac:dyDescent="0.35">
      <c r="A120" t="s">
        <v>81</v>
      </c>
      <c r="B120" t="s">
        <v>87</v>
      </c>
      <c r="C120">
        <v>0.625</v>
      </c>
    </row>
    <row r="121" spans="1:3" x14ac:dyDescent="0.35">
      <c r="A121" t="s">
        <v>81</v>
      </c>
      <c r="B121" t="s">
        <v>68</v>
      </c>
      <c r="C121">
        <v>1.25</v>
      </c>
    </row>
    <row r="122" spans="1:3" x14ac:dyDescent="0.35">
      <c r="A122" t="s">
        <v>81</v>
      </c>
      <c r="B122" t="s">
        <v>88</v>
      </c>
      <c r="C122">
        <v>1</v>
      </c>
    </row>
    <row r="123" spans="1:3" x14ac:dyDescent="0.35">
      <c r="A123" t="s">
        <v>81</v>
      </c>
      <c r="B123" t="s">
        <v>89</v>
      </c>
      <c r="C123">
        <v>2.75</v>
      </c>
    </row>
    <row r="124" spans="1:3" x14ac:dyDescent="0.35">
      <c r="A124" t="s">
        <v>81</v>
      </c>
      <c r="B124" t="s">
        <v>56</v>
      </c>
      <c r="C124">
        <v>0.25</v>
      </c>
    </row>
    <row r="125" spans="1:3" x14ac:dyDescent="0.35">
      <c r="A125" t="s">
        <v>81</v>
      </c>
      <c r="B125" t="s">
        <v>34</v>
      </c>
    </row>
    <row r="126" spans="1:3" x14ac:dyDescent="0.35">
      <c r="A126" t="s">
        <v>81</v>
      </c>
    </row>
    <row r="127" spans="1:3" x14ac:dyDescent="0.35">
      <c r="A127" t="s">
        <v>81</v>
      </c>
    </row>
    <row r="128" spans="1:3" x14ac:dyDescent="0.35">
      <c r="A128" t="s">
        <v>81</v>
      </c>
      <c r="B128" t="s">
        <v>35</v>
      </c>
    </row>
    <row r="129" spans="1:2" x14ac:dyDescent="0.35">
      <c r="A129" t="s">
        <v>81</v>
      </c>
    </row>
    <row r="130" spans="1:2" x14ac:dyDescent="0.35">
      <c r="A130" t="s">
        <v>81</v>
      </c>
    </row>
    <row r="131" spans="1:2" x14ac:dyDescent="0.35">
      <c r="A131" t="s">
        <v>81</v>
      </c>
      <c r="B131" t="s">
        <v>23</v>
      </c>
    </row>
    <row r="132" spans="1:2" x14ac:dyDescent="0.35">
      <c r="A132" t="s">
        <v>81</v>
      </c>
      <c r="B132" t="s">
        <v>26</v>
      </c>
    </row>
    <row r="133" spans="1:2" x14ac:dyDescent="0.35">
      <c r="A133" t="s">
        <v>81</v>
      </c>
      <c r="B133" t="s">
        <v>27</v>
      </c>
    </row>
    <row r="134" spans="1:2" x14ac:dyDescent="0.35">
      <c r="A134" t="s">
        <v>81</v>
      </c>
      <c r="B134" t="s">
        <v>30</v>
      </c>
    </row>
    <row r="135" spans="1:2" x14ac:dyDescent="0.35">
      <c r="A135" t="s">
        <v>81</v>
      </c>
      <c r="B135" t="s">
        <v>34</v>
      </c>
    </row>
    <row r="136" spans="1:2" x14ac:dyDescent="0.35">
      <c r="A136" t="s">
        <v>6</v>
      </c>
    </row>
    <row r="137" spans="1:2" x14ac:dyDescent="0.35">
      <c r="A137" t="s">
        <v>6</v>
      </c>
    </row>
    <row r="138" spans="1:2" x14ac:dyDescent="0.35">
      <c r="A138" t="s">
        <v>6</v>
      </c>
    </row>
    <row r="139" spans="1:2" x14ac:dyDescent="0.35">
      <c r="A139" t="s">
        <v>6</v>
      </c>
    </row>
    <row r="140" spans="1:2" x14ac:dyDescent="0.35">
      <c r="A140" t="s">
        <v>6</v>
      </c>
    </row>
    <row r="141" spans="1:2" x14ac:dyDescent="0.35">
      <c r="A141" t="s">
        <v>6</v>
      </c>
    </row>
    <row r="142" spans="1:2" x14ac:dyDescent="0.35">
      <c r="A142" t="s">
        <v>6</v>
      </c>
    </row>
    <row r="143" spans="1:2" x14ac:dyDescent="0.35">
      <c r="A143" t="s">
        <v>6</v>
      </c>
    </row>
    <row r="144" spans="1:2" x14ac:dyDescent="0.35">
      <c r="A144" t="s">
        <v>6</v>
      </c>
      <c r="B144" t="s">
        <v>26</v>
      </c>
    </row>
    <row r="145" spans="1:3" x14ac:dyDescent="0.35">
      <c r="A145" t="s">
        <v>6</v>
      </c>
      <c r="B145" t="s">
        <v>94</v>
      </c>
      <c r="C145">
        <v>4</v>
      </c>
    </row>
    <row r="146" spans="1:3" x14ac:dyDescent="0.35">
      <c r="A146" t="s">
        <v>6</v>
      </c>
    </row>
    <row r="147" spans="1:3" x14ac:dyDescent="0.35">
      <c r="A147" t="s">
        <v>6</v>
      </c>
    </row>
    <row r="148" spans="1:3" x14ac:dyDescent="0.35">
      <c r="A148" t="s">
        <v>6</v>
      </c>
      <c r="B148" t="s">
        <v>27</v>
      </c>
    </row>
    <row r="149" spans="1:3" x14ac:dyDescent="0.35">
      <c r="A149" t="s">
        <v>6</v>
      </c>
      <c r="B149" t="s">
        <v>95</v>
      </c>
      <c r="C149">
        <v>0.75</v>
      </c>
    </row>
    <row r="150" spans="1:3" x14ac:dyDescent="0.35">
      <c r="A150" t="s">
        <v>6</v>
      </c>
    </row>
    <row r="151" spans="1:3" x14ac:dyDescent="0.35">
      <c r="A151" t="s">
        <v>6</v>
      </c>
      <c r="B151" t="s">
        <v>30</v>
      </c>
    </row>
    <row r="152" spans="1:3" x14ac:dyDescent="0.35">
      <c r="A152" t="s">
        <v>6</v>
      </c>
      <c r="B152" t="s">
        <v>87</v>
      </c>
      <c r="C152">
        <v>2</v>
      </c>
    </row>
    <row r="153" spans="1:3" x14ac:dyDescent="0.35">
      <c r="A153" t="s">
        <v>6</v>
      </c>
      <c r="B153" t="s">
        <v>67</v>
      </c>
      <c r="C153">
        <v>2</v>
      </c>
    </row>
    <row r="154" spans="1:3" x14ac:dyDescent="0.35">
      <c r="A154" t="s">
        <v>6</v>
      </c>
    </row>
    <row r="155" spans="1:3" x14ac:dyDescent="0.35">
      <c r="A155" t="s">
        <v>6</v>
      </c>
    </row>
    <row r="156" spans="1:3" x14ac:dyDescent="0.35">
      <c r="A156" t="s">
        <v>6</v>
      </c>
    </row>
    <row r="157" spans="1:3" x14ac:dyDescent="0.35">
      <c r="A157" t="s">
        <v>6</v>
      </c>
      <c r="B157" t="s">
        <v>34</v>
      </c>
    </row>
    <row r="158" spans="1:3" x14ac:dyDescent="0.35">
      <c r="A158" t="s">
        <v>6</v>
      </c>
      <c r="B158" t="s">
        <v>93</v>
      </c>
      <c r="C158">
        <v>1</v>
      </c>
    </row>
    <row r="159" spans="1:3" x14ac:dyDescent="0.35">
      <c r="A159" t="s">
        <v>6</v>
      </c>
    </row>
    <row r="160" spans="1:3" x14ac:dyDescent="0.35">
      <c r="A160" t="s">
        <v>6</v>
      </c>
      <c r="B160" t="s">
        <v>35</v>
      </c>
    </row>
    <row r="161" spans="1:2" x14ac:dyDescent="0.35">
      <c r="A161" t="s">
        <v>6</v>
      </c>
    </row>
    <row r="162" spans="1:2" x14ac:dyDescent="0.35">
      <c r="A162" t="s">
        <v>6</v>
      </c>
    </row>
    <row r="163" spans="1:2" x14ac:dyDescent="0.35">
      <c r="A163" t="s">
        <v>6</v>
      </c>
      <c r="B163" t="s">
        <v>23</v>
      </c>
    </row>
    <row r="164" spans="1:2" x14ac:dyDescent="0.35">
      <c r="A164" t="s">
        <v>6</v>
      </c>
      <c r="B164" t="s">
        <v>26</v>
      </c>
    </row>
    <row r="165" spans="1:2" x14ac:dyDescent="0.35">
      <c r="A165" t="s">
        <v>6</v>
      </c>
      <c r="B165" t="s">
        <v>27</v>
      </c>
    </row>
    <row r="166" spans="1:2" x14ac:dyDescent="0.35">
      <c r="A166" t="s">
        <v>6</v>
      </c>
      <c r="B166" t="s">
        <v>30</v>
      </c>
    </row>
    <row r="167" spans="1:2" x14ac:dyDescent="0.35">
      <c r="A167" t="s">
        <v>6</v>
      </c>
      <c r="B167" t="s">
        <v>34</v>
      </c>
    </row>
    <row r="168" spans="1:2" x14ac:dyDescent="0.35">
      <c r="A168" t="s">
        <v>6</v>
      </c>
      <c r="B168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C2C5D-2782-4305-A1BA-E86000107AC2}">
  <sheetPr codeName="Sheet15"/>
  <dimension ref="A2:E6"/>
  <sheetViews>
    <sheetView workbookViewId="0">
      <selection activeCell="L13" sqref="L13"/>
    </sheetView>
  </sheetViews>
  <sheetFormatPr defaultRowHeight="14.5" x14ac:dyDescent="0.35"/>
  <sheetData>
    <row r="2" spans="1:5" x14ac:dyDescent="0.35">
      <c r="A2" s="54" t="s">
        <v>0</v>
      </c>
      <c r="B2" s="54" t="s">
        <v>1</v>
      </c>
      <c r="C2" s="54">
        <v>1</v>
      </c>
      <c r="D2" s="54">
        <v>1</v>
      </c>
      <c r="E2" s="54" t="s">
        <v>2</v>
      </c>
    </row>
    <row r="3" spans="1:5" x14ac:dyDescent="0.35">
      <c r="A3" s="54" t="s">
        <v>3</v>
      </c>
      <c r="B3" s="54" t="s">
        <v>1</v>
      </c>
      <c r="C3" s="54">
        <v>1</v>
      </c>
      <c r="D3" s="54">
        <v>1</v>
      </c>
      <c r="E3" s="54" t="s">
        <v>2</v>
      </c>
    </row>
    <row r="4" spans="1:5" x14ac:dyDescent="0.35">
      <c r="A4" s="54" t="s">
        <v>4</v>
      </c>
      <c r="B4" s="54" t="s">
        <v>1</v>
      </c>
      <c r="C4" s="54">
        <v>24</v>
      </c>
      <c r="D4" s="54">
        <v>1</v>
      </c>
      <c r="E4" s="54" t="s">
        <v>2</v>
      </c>
    </row>
    <row r="5" spans="1:5" x14ac:dyDescent="0.35">
      <c r="A5" s="54" t="s">
        <v>5</v>
      </c>
      <c r="B5" s="54" t="s">
        <v>1</v>
      </c>
      <c r="C5" s="54">
        <v>1</v>
      </c>
      <c r="D5" s="54">
        <v>1</v>
      </c>
      <c r="E5" s="54" t="s">
        <v>2</v>
      </c>
    </row>
    <row r="6" spans="1:5" x14ac:dyDescent="0.35">
      <c r="A6" s="54" t="s">
        <v>6</v>
      </c>
      <c r="B6" s="54" t="s">
        <v>1</v>
      </c>
      <c r="C6" s="54">
        <v>1</v>
      </c>
      <c r="D6" s="54">
        <v>1</v>
      </c>
      <c r="E6" s="54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243C4-FF29-49DB-B1D4-0EDB6F2963EF}">
  <sheetPr codeName="Sheet5"/>
  <dimension ref="A1:J128"/>
  <sheetViews>
    <sheetView topLeftCell="A25" workbookViewId="0">
      <selection activeCell="C29" sqref="C29"/>
    </sheetView>
  </sheetViews>
  <sheetFormatPr defaultColWidth="8.7265625" defaultRowHeight="14.5" x14ac:dyDescent="0.35"/>
  <cols>
    <col min="1" max="1" width="18.1796875" style="54" customWidth="1"/>
    <col min="2" max="2" width="16.453125" style="54" customWidth="1"/>
    <col min="3" max="3" width="13.453125" style="54" customWidth="1"/>
    <col min="4" max="4" width="12.453125" style="54" customWidth="1"/>
    <col min="5" max="5" width="6" style="54" customWidth="1"/>
    <col min="6" max="6" width="1.26953125" style="54" customWidth="1"/>
    <col min="7" max="7" width="8.7265625" style="54"/>
    <col min="8" max="8" width="12" style="54" customWidth="1"/>
    <col min="9" max="9" width="8.7265625" style="54"/>
    <col min="10" max="10" width="13.26953125" style="54" customWidth="1"/>
    <col min="11" max="16384" width="8.7265625" style="54"/>
  </cols>
  <sheetData>
    <row r="1" spans="1:10" ht="25.5" customHeight="1" thickBot="1" x14ac:dyDescent="0.4">
      <c r="A1" s="159" t="s">
        <v>7</v>
      </c>
      <c r="B1" s="159"/>
      <c r="C1" s="159"/>
      <c r="D1" s="160" t="s">
        <v>8</v>
      </c>
      <c r="E1" s="160"/>
      <c r="F1" s="160"/>
      <c r="G1" s="160"/>
      <c r="H1" s="160"/>
    </row>
    <row r="2" spans="1:10" ht="15.5" x14ac:dyDescent="0.35">
      <c r="A2" s="4" t="s">
        <v>9</v>
      </c>
      <c r="B2" s="5" t="s">
        <v>0</v>
      </c>
      <c r="C2" s="3"/>
      <c r="D2" s="3"/>
      <c r="E2" s="95" t="s">
        <v>10</v>
      </c>
      <c r="F2" s="96"/>
      <c r="G2" s="96"/>
      <c r="H2" s="97"/>
    </row>
    <row r="3" spans="1:10" ht="16" thickBot="1" x14ac:dyDescent="0.4">
      <c r="A3" s="6" t="s">
        <v>11</v>
      </c>
      <c r="B3" s="5" t="s">
        <v>1</v>
      </c>
      <c r="C3" s="4" t="s">
        <v>12</v>
      </c>
      <c r="D3" s="7">
        <v>1</v>
      </c>
      <c r="E3" s="146" t="s">
        <v>13</v>
      </c>
      <c r="F3" s="147"/>
      <c r="G3" s="147"/>
      <c r="H3" s="148"/>
      <c r="I3" s="3"/>
    </row>
    <row r="4" spans="1:10" ht="15.5" x14ac:dyDescent="0.35">
      <c r="A4" s="4" t="s">
        <v>14</v>
      </c>
      <c r="B4" s="34"/>
      <c r="C4" s="4" t="s">
        <v>15</v>
      </c>
      <c r="D4" s="7">
        <v>1</v>
      </c>
      <c r="E4" s="5" t="s">
        <v>2</v>
      </c>
      <c r="H4" s="3"/>
      <c r="I4" s="3"/>
      <c r="J4" s="3"/>
    </row>
    <row r="5" spans="1:10" ht="15.5" x14ac:dyDescent="0.35">
      <c r="A5" s="149" t="s">
        <v>16</v>
      </c>
      <c r="B5" s="150"/>
      <c r="C5" s="153" t="s">
        <v>17</v>
      </c>
      <c r="D5" s="154"/>
      <c r="E5" s="140" t="s">
        <v>18</v>
      </c>
      <c r="F5" s="141"/>
      <c r="G5" s="141"/>
      <c r="H5" s="142"/>
      <c r="I5" s="3"/>
      <c r="J5" s="3"/>
    </row>
    <row r="6" spans="1:10" ht="15.5" x14ac:dyDescent="0.35">
      <c r="A6" s="151"/>
      <c r="B6" s="152"/>
      <c r="C6" s="8" t="s">
        <v>19</v>
      </c>
      <c r="D6" s="8" t="s">
        <v>20</v>
      </c>
      <c r="E6" s="155"/>
      <c r="F6" s="156"/>
      <c r="G6" s="92" t="s">
        <v>21</v>
      </c>
      <c r="H6" s="93" t="s">
        <v>22</v>
      </c>
      <c r="I6" s="32"/>
      <c r="J6" s="32"/>
    </row>
    <row r="7" spans="1:10" ht="15.5" x14ac:dyDescent="0.35">
      <c r="A7" s="157" t="s">
        <v>23</v>
      </c>
      <c r="B7" s="158"/>
      <c r="C7" s="14"/>
      <c r="D7" s="15"/>
      <c r="E7" s="128">
        <f>(H7+H96+H53)/H35</f>
        <v>0.18161100792551216</v>
      </c>
      <c r="F7" s="129"/>
      <c r="G7" s="17" t="s">
        <v>24</v>
      </c>
      <c r="H7" s="22">
        <f>SUM(H8:H15)</f>
        <v>0</v>
      </c>
      <c r="I7" s="33"/>
      <c r="J7" s="33"/>
    </row>
    <row r="8" spans="1:10" ht="15.5" x14ac:dyDescent="0.35">
      <c r="A8" s="118"/>
      <c r="B8" s="145"/>
      <c r="C8" s="19"/>
      <c r="D8" s="9" t="s">
        <v>25</v>
      </c>
      <c r="E8" s="126"/>
      <c r="F8" s="127"/>
      <c r="G8" s="21" t="e">
        <f>VLOOKUP(A8,'Storeroom - 50011'!$C$2:$J$400, 8, FALSE)</f>
        <v>#N/A</v>
      </c>
      <c r="H8" s="10"/>
      <c r="I8" s="33"/>
      <c r="J8" s="33"/>
    </row>
    <row r="9" spans="1:10" ht="15.5" x14ac:dyDescent="0.35">
      <c r="A9" s="118"/>
      <c r="B9" s="145"/>
      <c r="C9" s="19"/>
      <c r="D9" s="9" t="s">
        <v>25</v>
      </c>
      <c r="E9" s="126"/>
      <c r="F9" s="127"/>
      <c r="G9" s="21" t="e">
        <f>VLOOKUP(A9,'Storeroom - 50011'!$C$2:$J$400, 8, FALSE)</f>
        <v>#N/A</v>
      </c>
      <c r="H9" s="10"/>
      <c r="I9" s="33"/>
      <c r="J9" s="33"/>
    </row>
    <row r="10" spans="1:10" ht="15.5" x14ac:dyDescent="0.35">
      <c r="A10" s="118"/>
      <c r="B10" s="145"/>
      <c r="C10" s="19"/>
      <c r="D10" s="9" t="s">
        <v>25</v>
      </c>
      <c r="E10" s="126"/>
      <c r="F10" s="127"/>
      <c r="G10" s="21" t="e">
        <f>VLOOKUP(A10,'Storeroom - 50011'!$C$2:$J$400, 8, FALSE)</f>
        <v>#N/A</v>
      </c>
      <c r="H10" s="10"/>
      <c r="I10" s="33"/>
      <c r="J10" s="33"/>
    </row>
    <row r="11" spans="1:10" ht="15.5" x14ac:dyDescent="0.35">
      <c r="A11" s="118"/>
      <c r="B11" s="145"/>
      <c r="C11" s="19"/>
      <c r="D11" s="9" t="s">
        <v>25</v>
      </c>
      <c r="E11" s="126"/>
      <c r="F11" s="127"/>
      <c r="G11" s="21" t="e">
        <f>VLOOKUP(A11,'Storeroom - 50011'!$C$2:$J$400, 8, FALSE)</f>
        <v>#N/A</v>
      </c>
      <c r="H11" s="10"/>
      <c r="I11" s="33"/>
      <c r="J11" s="33"/>
    </row>
    <row r="12" spans="1:10" ht="15.5" x14ac:dyDescent="0.35">
      <c r="A12" s="118"/>
      <c r="B12" s="145"/>
      <c r="C12" s="19"/>
      <c r="D12" s="9" t="s">
        <v>25</v>
      </c>
      <c r="E12" s="108"/>
      <c r="F12" s="109"/>
      <c r="G12" s="21" t="e">
        <f>VLOOKUP(A12,'Storeroom - 50011'!$C$2:$J$400, 8, FALSE)</f>
        <v>#N/A</v>
      </c>
      <c r="H12" s="10"/>
      <c r="I12" s="33"/>
      <c r="J12" s="33"/>
    </row>
    <row r="13" spans="1:10" ht="15.5" x14ac:dyDescent="0.35">
      <c r="A13" s="118"/>
      <c r="B13" s="145"/>
      <c r="C13" s="19"/>
      <c r="D13" s="9" t="s">
        <v>25</v>
      </c>
      <c r="E13" s="108"/>
      <c r="F13" s="109"/>
      <c r="G13" s="21" t="e">
        <f>VLOOKUP(A13,'Storeroom - 50011'!$C$2:$J$400, 8, FALSE)</f>
        <v>#N/A</v>
      </c>
      <c r="H13" s="10"/>
      <c r="I13" s="33"/>
      <c r="J13" s="33"/>
    </row>
    <row r="14" spans="1:10" ht="15.5" x14ac:dyDescent="0.35">
      <c r="A14" s="118"/>
      <c r="B14" s="145"/>
      <c r="C14" s="19"/>
      <c r="D14" s="9" t="s">
        <v>25</v>
      </c>
      <c r="E14" s="108"/>
      <c r="F14" s="109"/>
      <c r="G14" s="21" t="e">
        <f>VLOOKUP(A14,'Storeroom - 50011'!$C$2:$J$400, 8, FALSE)</f>
        <v>#N/A</v>
      </c>
      <c r="H14" s="10"/>
      <c r="I14" s="33"/>
      <c r="J14" s="33"/>
    </row>
    <row r="15" spans="1:10" ht="15.5" x14ac:dyDescent="0.35">
      <c r="A15" s="118"/>
      <c r="B15" s="145"/>
      <c r="C15" s="19"/>
      <c r="D15" s="9" t="s">
        <v>25</v>
      </c>
      <c r="E15" s="108"/>
      <c r="F15" s="109"/>
      <c r="G15" s="21" t="e">
        <f>VLOOKUP(A15,'Storeroom - 50011'!$C$2:$J$400, 8, FALSE)</f>
        <v>#N/A</v>
      </c>
      <c r="H15" s="10"/>
      <c r="I15" s="33"/>
      <c r="J15" s="33"/>
    </row>
    <row r="16" spans="1:10" ht="15.5" x14ac:dyDescent="0.35">
      <c r="A16" s="143" t="s">
        <v>26</v>
      </c>
      <c r="B16" s="144"/>
      <c r="C16" s="16"/>
      <c r="D16" s="15"/>
      <c r="E16" s="124">
        <f>(H16+H62+H105)/H35</f>
        <v>0</v>
      </c>
      <c r="F16" s="125"/>
      <c r="G16" s="27" t="s">
        <v>24</v>
      </c>
      <c r="H16" s="22">
        <f>SUM(H17:H19)</f>
        <v>0</v>
      </c>
      <c r="I16" s="33"/>
      <c r="J16" s="33"/>
    </row>
    <row r="17" spans="1:10" ht="15.5" x14ac:dyDescent="0.35">
      <c r="A17" s="118"/>
      <c r="B17" s="145"/>
      <c r="C17" s="13"/>
      <c r="D17" s="9" t="s">
        <v>25</v>
      </c>
      <c r="E17" s="126"/>
      <c r="F17" s="127"/>
      <c r="G17" s="21" t="e">
        <f>VLOOKUP(A17,'Meat - 50021'!$C$2:$L$400, 10, FALSE)</f>
        <v>#N/A</v>
      </c>
      <c r="H17" s="10"/>
      <c r="I17" s="33"/>
      <c r="J17" s="33"/>
    </row>
    <row r="18" spans="1:10" ht="15.5" x14ac:dyDescent="0.35">
      <c r="A18" s="118"/>
      <c r="B18" s="145"/>
      <c r="C18" s="13"/>
      <c r="D18" s="9" t="s">
        <v>25</v>
      </c>
      <c r="E18" s="108"/>
      <c r="F18" s="109"/>
      <c r="G18" s="21" t="e">
        <f>VLOOKUP(A18,'Meat - 50021'!$C$2:$L$400, 10, FALSE)</f>
        <v>#N/A</v>
      </c>
      <c r="H18" s="10"/>
      <c r="I18" s="33"/>
      <c r="J18" s="33"/>
    </row>
    <row r="19" spans="1:10" ht="15.5" x14ac:dyDescent="0.35">
      <c r="A19" s="118"/>
      <c r="B19" s="145"/>
      <c r="C19" s="13"/>
      <c r="D19" s="9" t="s">
        <v>25</v>
      </c>
      <c r="E19" s="126"/>
      <c r="F19" s="127"/>
      <c r="G19" s="21" t="e">
        <f>VLOOKUP(A19,'Meat - 50021'!$C$2:$L$400, 10, FALSE)</f>
        <v>#N/A</v>
      </c>
      <c r="H19" s="10"/>
      <c r="I19" s="33"/>
      <c r="J19" s="33"/>
    </row>
    <row r="20" spans="1:10" ht="15.5" x14ac:dyDescent="0.35">
      <c r="A20" s="143" t="s">
        <v>27</v>
      </c>
      <c r="B20" s="144"/>
      <c r="C20" s="16"/>
      <c r="D20" s="15"/>
      <c r="E20" s="124">
        <f>(H20+H66+H109)/H35</f>
        <v>6.0909889235999083E-2</v>
      </c>
      <c r="F20" s="125"/>
      <c r="G20" s="27" t="s">
        <v>24</v>
      </c>
      <c r="H20" s="22">
        <f>SUM(H21:H22)</f>
        <v>0.23250000000000001</v>
      </c>
      <c r="I20" s="33"/>
      <c r="J20" s="33"/>
    </row>
    <row r="21" spans="1:10" ht="15.5" x14ac:dyDescent="0.35">
      <c r="A21" s="118" t="s">
        <v>28</v>
      </c>
      <c r="B21" s="145"/>
      <c r="C21" s="13">
        <v>1</v>
      </c>
      <c r="D21" s="9" t="s">
        <v>25</v>
      </c>
      <c r="E21" s="126"/>
      <c r="F21" s="127"/>
      <c r="G21" s="21">
        <f>VLOOKUP(A21,'Dairy - 50031'!$C$2:$J$400,8, FALSE)</f>
        <v>0.23250000000000001</v>
      </c>
      <c r="H21" s="10">
        <f>G21*C21</f>
        <v>0.23250000000000001</v>
      </c>
      <c r="I21" s="33"/>
      <c r="J21" s="33"/>
    </row>
    <row r="22" spans="1:10" ht="15.5" x14ac:dyDescent="0.35">
      <c r="A22" s="118"/>
      <c r="B22" s="145"/>
      <c r="C22" s="13"/>
      <c r="D22" s="9" t="s">
        <v>29</v>
      </c>
      <c r="E22" s="126"/>
      <c r="F22" s="127"/>
      <c r="G22" s="21" t="e">
        <f>VLOOKUP(A22,'Dairy - 50031'!$C$2:$J$400,8, FALSE)</f>
        <v>#N/A</v>
      </c>
      <c r="H22" s="10"/>
      <c r="I22" s="33"/>
      <c r="J22" s="33"/>
    </row>
    <row r="23" spans="1:10" ht="15.5" x14ac:dyDescent="0.35">
      <c r="A23" s="143" t="s">
        <v>30</v>
      </c>
      <c r="B23" s="144"/>
      <c r="C23" s="16"/>
      <c r="D23" s="15"/>
      <c r="E23" s="124">
        <f>(H23+H69+H112)/H35</f>
        <v>0.35665273496288186</v>
      </c>
      <c r="F23" s="125"/>
      <c r="G23" s="27" t="s">
        <v>24</v>
      </c>
      <c r="H23" s="22">
        <f>SUM(H24:H28)</f>
        <v>0.5374059834437247</v>
      </c>
      <c r="I23" s="33"/>
      <c r="J23" s="33"/>
    </row>
    <row r="24" spans="1:10" ht="15.5" x14ac:dyDescent="0.35">
      <c r="A24" s="118" t="s">
        <v>31</v>
      </c>
      <c r="B24" s="119"/>
      <c r="C24" s="13">
        <v>0.25</v>
      </c>
      <c r="D24" s="9" t="s">
        <v>29</v>
      </c>
      <c r="E24" s="108"/>
      <c r="F24" s="109"/>
      <c r="G24" s="21">
        <f>VLOOKUP(A24,'Produce - 50051'!$C$2:$L$400, 10, FALSE)</f>
        <v>1.6660052910052909</v>
      </c>
      <c r="H24" s="10">
        <f t="shared" ref="H24" si="0">C24*G24</f>
        <v>0.41650132275132273</v>
      </c>
      <c r="I24" s="33"/>
      <c r="J24" s="33"/>
    </row>
    <row r="25" spans="1:10" ht="15.5" x14ac:dyDescent="0.35">
      <c r="A25" s="118" t="s">
        <v>32</v>
      </c>
      <c r="B25" s="119"/>
      <c r="C25" s="13">
        <v>0.5</v>
      </c>
      <c r="D25" s="9" t="s">
        <v>25</v>
      </c>
      <c r="E25" s="108"/>
      <c r="F25" s="109"/>
      <c r="G25" s="21">
        <f>VLOOKUP(A25,'Produce - 50051'!$C$2:$L$400, 10, FALSE)</f>
        <v>0.13235294117647059</v>
      </c>
      <c r="H25" s="10">
        <f>C25*G25</f>
        <v>6.6176470588235295E-2</v>
      </c>
      <c r="I25" s="33"/>
      <c r="J25" s="33"/>
    </row>
    <row r="26" spans="1:10" ht="15.5" x14ac:dyDescent="0.35">
      <c r="A26" s="118" t="s">
        <v>33</v>
      </c>
      <c r="B26" s="119"/>
      <c r="C26" s="13">
        <v>0.25</v>
      </c>
      <c r="D26" s="9" t="s">
        <v>25</v>
      </c>
      <c r="E26" s="108"/>
      <c r="F26" s="109"/>
      <c r="G26" s="21">
        <f>VLOOKUP(A26,'Produce - 50051'!$C$2:$L$400, 10, FALSE)</f>
        <v>0.21891276041666666</v>
      </c>
      <c r="H26" s="10">
        <f>C26*G26</f>
        <v>5.4728190104166664E-2</v>
      </c>
      <c r="I26" s="33"/>
      <c r="J26" s="33"/>
    </row>
    <row r="27" spans="1:10" ht="15.5" x14ac:dyDescent="0.35">
      <c r="A27" s="118"/>
      <c r="B27" s="119"/>
      <c r="C27" s="13"/>
      <c r="D27" s="9" t="s">
        <v>25</v>
      </c>
      <c r="E27" s="108"/>
      <c r="F27" s="109"/>
      <c r="G27" s="21" t="e">
        <f>VLOOKUP(A27,'Produce - 50051'!$C$2:$L$400, 10, FALSE)</f>
        <v>#N/A</v>
      </c>
      <c r="H27" s="10"/>
      <c r="I27" s="33"/>
      <c r="J27" s="33"/>
    </row>
    <row r="28" spans="1:10" ht="15.5" x14ac:dyDescent="0.35">
      <c r="A28" s="118"/>
      <c r="B28" s="119"/>
      <c r="C28" s="13"/>
      <c r="D28" s="9" t="s">
        <v>25</v>
      </c>
      <c r="E28" s="108"/>
      <c r="F28" s="109"/>
      <c r="G28" s="21" t="e">
        <f>VLOOKUP(A28,'Produce - 50051'!$C$2:$L$400, 10, FALSE)</f>
        <v>#N/A</v>
      </c>
      <c r="H28" s="10"/>
      <c r="I28" s="33"/>
      <c r="J28" s="33"/>
    </row>
    <row r="29" spans="1:10" ht="15.5" x14ac:dyDescent="0.35">
      <c r="A29" s="114" t="s">
        <v>34</v>
      </c>
      <c r="B29" s="115"/>
      <c r="C29" s="16"/>
      <c r="D29" s="15"/>
      <c r="E29" s="122">
        <f>(H29+H75+H118)/H35</f>
        <v>0.2672175785837379</v>
      </c>
      <c r="F29" s="123"/>
      <c r="G29" s="27" t="s">
        <v>24</v>
      </c>
      <c r="H29" s="22">
        <f>SUM(H30:H34)</f>
        <v>0.2</v>
      </c>
      <c r="I29" s="33"/>
      <c r="J29" s="33"/>
    </row>
    <row r="30" spans="1:10" ht="15.5" x14ac:dyDescent="0.35">
      <c r="A30" s="118"/>
      <c r="B30" s="119"/>
      <c r="C30" s="13"/>
      <c r="D30" s="9" t="s">
        <v>29</v>
      </c>
      <c r="E30" s="108"/>
      <c r="F30" s="109"/>
      <c r="G30" s="21" t="e">
        <f>VLOOKUP(A30,'Bakery - 50041'!$C$2:$J$400, 8, FALSE)</f>
        <v>#N/A</v>
      </c>
      <c r="H30" s="10"/>
      <c r="I30" s="33"/>
      <c r="J30" s="33"/>
    </row>
    <row r="31" spans="1:10" ht="15.5" x14ac:dyDescent="0.35">
      <c r="A31" s="118"/>
      <c r="B31" s="119"/>
      <c r="C31" s="13"/>
      <c r="D31" s="9" t="s">
        <v>25</v>
      </c>
      <c r="E31" s="108"/>
      <c r="F31" s="109"/>
      <c r="G31" s="21" t="e">
        <f>VLOOKUP(A31,'Bakery - 50041'!$C$2:$J$400, 8, FALSE)</f>
        <v>#N/A</v>
      </c>
      <c r="H31" s="10"/>
      <c r="I31" s="33"/>
      <c r="J31" s="33"/>
    </row>
    <row r="32" spans="1:10" ht="15.5" x14ac:dyDescent="0.35">
      <c r="A32" s="114" t="s">
        <v>35</v>
      </c>
      <c r="B32" s="115"/>
      <c r="C32" s="16"/>
      <c r="D32" s="15"/>
      <c r="E32" s="116">
        <f>(H32+H78+H121)/H35</f>
        <v>0.13360878929186895</v>
      </c>
      <c r="F32" s="18"/>
      <c r="G32" s="27" t="s">
        <v>24</v>
      </c>
      <c r="H32" s="22">
        <f>SUM(H33:H34)</f>
        <v>0.1</v>
      </c>
      <c r="I32" s="33"/>
      <c r="J32" s="33"/>
    </row>
    <row r="33" spans="1:10" ht="15.5" x14ac:dyDescent="0.35">
      <c r="A33" s="118" t="s">
        <v>36</v>
      </c>
      <c r="B33" s="119"/>
      <c r="C33" s="13">
        <v>2</v>
      </c>
      <c r="D33" s="9" t="s">
        <v>25</v>
      </c>
      <c r="E33" s="108"/>
      <c r="F33" s="109"/>
      <c r="G33" s="21">
        <f>VLOOKUP(A33,'Frozen - 50061'!$C$2:$J$400, 8, FALSE)</f>
        <v>0.05</v>
      </c>
      <c r="H33" s="10">
        <f>G33*C33</f>
        <v>0.1</v>
      </c>
      <c r="I33" s="33"/>
      <c r="J33" s="33"/>
    </row>
    <row r="34" spans="1:10" ht="15.5" x14ac:dyDescent="0.35">
      <c r="A34" s="118"/>
      <c r="B34" s="119"/>
      <c r="C34" s="36"/>
      <c r="D34" s="37" t="s">
        <v>25</v>
      </c>
      <c r="E34" s="120"/>
      <c r="F34" s="121"/>
      <c r="G34" s="21" t="e">
        <f>VLOOKUP(A34,'Frozen - 50061'!$C$2:$J$400, 8, FALSE)</f>
        <v>#N/A</v>
      </c>
      <c r="H34" s="10"/>
      <c r="I34" s="33"/>
      <c r="J34" s="33"/>
    </row>
    <row r="35" spans="1:10" ht="16" thickBot="1" x14ac:dyDescent="0.4">
      <c r="A35" s="30" t="str">
        <f>A7</f>
        <v>Storeroom PL ()</v>
      </c>
      <c r="B35" s="40">
        <f>E7</f>
        <v>0.18161100792551216</v>
      </c>
      <c r="C35" s="31"/>
      <c r="D35" s="31"/>
      <c r="E35" s="31"/>
      <c r="F35" s="4" t="s">
        <v>37</v>
      </c>
      <c r="G35" s="4"/>
      <c r="H35" s="35">
        <f>H32+H29+H23+H20+H16+H7+H81+H124</f>
        <v>3.8171141487249232</v>
      </c>
    </row>
    <row r="36" spans="1:10" ht="16" thickBot="1" x14ac:dyDescent="0.4">
      <c r="A36" s="38" t="str">
        <f>A16</f>
        <v>Meat PL ()</v>
      </c>
      <c r="B36" s="41">
        <f>E16</f>
        <v>0</v>
      </c>
      <c r="C36" s="29"/>
      <c r="D36" s="29"/>
      <c r="E36" s="29"/>
      <c r="F36" s="4" t="s">
        <v>38</v>
      </c>
      <c r="G36" s="4"/>
      <c r="H36" s="12">
        <v>5</v>
      </c>
    </row>
    <row r="37" spans="1:10" ht="16" thickBot="1" x14ac:dyDescent="0.4">
      <c r="A37" s="39" t="str">
        <f>A20</f>
        <v>Dairy PL ()</v>
      </c>
      <c r="B37" s="42">
        <f>E20</f>
        <v>6.0909889235999083E-2</v>
      </c>
      <c r="C37" s="29"/>
      <c r="D37" s="29"/>
      <c r="E37" s="29"/>
      <c r="F37" s="4" t="s">
        <v>39</v>
      </c>
      <c r="G37" s="4"/>
      <c r="H37" s="11">
        <f>H35/D3</f>
        <v>3.8171141487249232</v>
      </c>
    </row>
    <row r="38" spans="1:10" ht="16" thickBot="1" x14ac:dyDescent="0.4">
      <c r="A38" s="39" t="str">
        <f>A23</f>
        <v>Produce PL ()</v>
      </c>
      <c r="B38" s="42">
        <f>E23</f>
        <v>0.35665273496288186</v>
      </c>
      <c r="C38" s="29"/>
      <c r="D38" s="29"/>
      <c r="E38" s="29"/>
      <c r="F38" s="23" t="s">
        <v>40</v>
      </c>
      <c r="H38" s="25">
        <f>H36-H37</f>
        <v>1.1828858512750768</v>
      </c>
    </row>
    <row r="39" spans="1:10" ht="16" thickBot="1" x14ac:dyDescent="0.4">
      <c r="A39" s="39" t="str">
        <f>A29</f>
        <v>Bakery PL ()</v>
      </c>
      <c r="B39" s="42">
        <f>E29</f>
        <v>0.2672175785837379</v>
      </c>
      <c r="C39" s="29"/>
      <c r="D39" s="29"/>
      <c r="E39" s="29"/>
      <c r="F39" s="24" t="s">
        <v>41</v>
      </c>
      <c r="H39" s="26">
        <f>H38/H36</f>
        <v>0.23657717025501537</v>
      </c>
    </row>
    <row r="40" spans="1:10" ht="16" thickBot="1" x14ac:dyDescent="0.4">
      <c r="A40" s="39" t="str">
        <f>A32</f>
        <v>Frozen PL ()</v>
      </c>
      <c r="B40" s="42">
        <f>E32</f>
        <v>0.13360878929186895</v>
      </c>
      <c r="C40" s="29"/>
      <c r="D40" s="29"/>
      <c r="E40" s="29"/>
      <c r="F40" s="24" t="s">
        <v>42</v>
      </c>
      <c r="H40" s="26">
        <f>(H38/H37)</f>
        <v>0.30989009109675447</v>
      </c>
    </row>
    <row r="41" spans="1:10" ht="18.5" x14ac:dyDescent="0.35">
      <c r="A41" s="89" t="s">
        <v>24</v>
      </c>
      <c r="B41" s="90">
        <f>SUM(B35:B40)</f>
        <v>1</v>
      </c>
      <c r="C41" s="29"/>
      <c r="D41" s="29"/>
      <c r="E41" s="29"/>
      <c r="F41" s="29"/>
      <c r="G41" s="29"/>
      <c r="J41" s="20"/>
    </row>
    <row r="42" spans="1:10" x14ac:dyDescent="0.35">
      <c r="A42" s="29"/>
      <c r="B42" s="29"/>
      <c r="C42" s="29"/>
      <c r="D42" s="29"/>
      <c r="E42" s="29"/>
      <c r="F42" s="29"/>
      <c r="G42" s="29"/>
    </row>
    <row r="43" spans="1:10" x14ac:dyDescent="0.35">
      <c r="A43" s="130" t="s">
        <v>43</v>
      </c>
      <c r="B43" s="130"/>
      <c r="C43" s="130"/>
      <c r="D43" s="130"/>
      <c r="E43" s="130"/>
      <c r="F43" s="130"/>
      <c r="G43" s="130"/>
      <c r="H43" s="130"/>
    </row>
    <row r="44" spans="1:10" x14ac:dyDescent="0.35">
      <c r="A44" s="130"/>
      <c r="B44" s="130"/>
      <c r="C44" s="130"/>
      <c r="D44" s="130"/>
      <c r="E44" s="130"/>
      <c r="F44" s="130"/>
      <c r="G44" s="130"/>
      <c r="H44" s="130"/>
    </row>
    <row r="45" spans="1:10" x14ac:dyDescent="0.35">
      <c r="A45" s="130"/>
      <c r="B45" s="130"/>
      <c r="C45" s="130"/>
      <c r="D45" s="130"/>
      <c r="E45" s="130"/>
      <c r="F45" s="130"/>
      <c r="G45" s="130"/>
      <c r="H45" s="130"/>
    </row>
    <row r="46" spans="1:10" ht="15" thickBot="1" x14ac:dyDescent="0.4">
      <c r="A46" s="131"/>
      <c r="B46" s="131"/>
      <c r="C46" s="131"/>
      <c r="D46" s="131"/>
      <c r="E46" s="131"/>
      <c r="F46" s="131"/>
      <c r="G46" s="131"/>
      <c r="H46" s="131"/>
    </row>
    <row r="47" spans="1:10" ht="26.5" thickBot="1" x14ac:dyDescent="0.4">
      <c r="A47" s="132" t="s">
        <v>7</v>
      </c>
      <c r="B47" s="132"/>
      <c r="C47" s="132"/>
      <c r="D47" s="133" t="s">
        <v>8</v>
      </c>
      <c r="E47" s="133"/>
      <c r="F47" s="133"/>
      <c r="G47" s="133"/>
      <c r="H47" s="133"/>
    </row>
    <row r="48" spans="1:10" ht="15.5" x14ac:dyDescent="0.35">
      <c r="A48" s="4" t="s">
        <v>9</v>
      </c>
      <c r="B48" s="5" t="s">
        <v>44</v>
      </c>
      <c r="C48" s="3"/>
      <c r="D48" s="3"/>
      <c r="E48" s="95" t="s">
        <v>10</v>
      </c>
      <c r="F48" s="96"/>
      <c r="G48" s="96"/>
      <c r="H48" s="97"/>
    </row>
    <row r="49" spans="1:8" ht="16" thickBot="1" x14ac:dyDescent="0.4">
      <c r="A49" s="6" t="s">
        <v>11</v>
      </c>
      <c r="B49" s="5"/>
      <c r="C49" s="4" t="s">
        <v>12</v>
      </c>
      <c r="D49" s="7"/>
      <c r="E49" s="146" t="s">
        <v>13</v>
      </c>
      <c r="F49" s="147"/>
      <c r="G49" s="147"/>
      <c r="H49" s="148"/>
    </row>
    <row r="50" spans="1:8" ht="15.5" x14ac:dyDescent="0.35">
      <c r="A50" s="4" t="s">
        <v>14</v>
      </c>
      <c r="B50" s="34"/>
      <c r="C50" s="4" t="s">
        <v>15</v>
      </c>
      <c r="D50" s="7"/>
      <c r="E50" s="5" t="s">
        <v>45</v>
      </c>
      <c r="H50" s="3"/>
    </row>
    <row r="51" spans="1:8" ht="15.5" x14ac:dyDescent="0.35">
      <c r="A51" s="149" t="s">
        <v>16</v>
      </c>
      <c r="B51" s="150"/>
      <c r="C51" s="153" t="s">
        <v>17</v>
      </c>
      <c r="D51" s="154"/>
      <c r="E51" s="140" t="s">
        <v>18</v>
      </c>
      <c r="F51" s="141"/>
      <c r="G51" s="141"/>
      <c r="H51" s="142"/>
    </row>
    <row r="52" spans="1:8" ht="15.5" x14ac:dyDescent="0.35">
      <c r="A52" s="151"/>
      <c r="B52" s="152"/>
      <c r="C52" s="8" t="s">
        <v>19</v>
      </c>
      <c r="D52" s="8" t="s">
        <v>20</v>
      </c>
      <c r="E52" s="155"/>
      <c r="F52" s="156"/>
      <c r="G52" s="92" t="s">
        <v>21</v>
      </c>
      <c r="H52" s="93" t="s">
        <v>22</v>
      </c>
    </row>
    <row r="53" spans="1:8" ht="15.5" x14ac:dyDescent="0.35">
      <c r="A53" s="157" t="s">
        <v>23</v>
      </c>
      <c r="B53" s="158"/>
      <c r="C53" s="14"/>
      <c r="D53" s="15"/>
      <c r="E53" s="128">
        <f>H53/$H$81</f>
        <v>1</v>
      </c>
      <c r="F53" s="129"/>
      <c r="G53" s="17" t="s">
        <v>24</v>
      </c>
      <c r="H53" s="22">
        <f>SUM(H54:H61)</f>
        <v>0.35131588541666664</v>
      </c>
    </row>
    <row r="54" spans="1:8" ht="15.5" x14ac:dyDescent="0.35">
      <c r="A54" s="118" t="s">
        <v>46</v>
      </c>
      <c r="B54" s="145"/>
      <c r="C54" s="19">
        <v>1</v>
      </c>
      <c r="D54" s="9" t="s">
        <v>25</v>
      </c>
      <c r="E54" s="126"/>
      <c r="F54" s="127"/>
      <c r="G54" s="21">
        <f>VLOOKUP(A54,'Storeroom - 50011'!$C$2:$J$400, 8, FALSE)</f>
        <v>5.8887500000000002E-2</v>
      </c>
      <c r="H54" s="10">
        <f>G54*C54</f>
        <v>5.8887500000000002E-2</v>
      </c>
    </row>
    <row r="55" spans="1:8" ht="15.5" x14ac:dyDescent="0.35">
      <c r="A55" s="118" t="s">
        <v>47</v>
      </c>
      <c r="B55" s="145"/>
      <c r="C55" s="19">
        <v>0.5</v>
      </c>
      <c r="D55" s="9" t="s">
        <v>25</v>
      </c>
      <c r="E55" s="126"/>
      <c r="F55" s="127"/>
      <c r="G55" s="21">
        <f>VLOOKUP(A55,'Storeroom - 50011'!$C$2:$J$400, 8, FALSE)</f>
        <v>0.11302083333333333</v>
      </c>
      <c r="H55" s="10">
        <f t="shared" ref="H55:H59" si="1">G55*C55</f>
        <v>5.6510416666666667E-2</v>
      </c>
    </row>
    <row r="56" spans="1:8" ht="15.5" x14ac:dyDescent="0.35">
      <c r="A56" s="118" t="s">
        <v>48</v>
      </c>
      <c r="B56" s="145"/>
      <c r="C56" s="19">
        <v>0.5</v>
      </c>
      <c r="D56" s="9" t="s">
        <v>25</v>
      </c>
      <c r="E56" s="126"/>
      <c r="F56" s="127"/>
      <c r="G56" s="21">
        <f>VLOOKUP(A56,'Storeroom - 50011'!$C$2:$J$400, 8, FALSE)</f>
        <v>8.9648437499999997E-2</v>
      </c>
      <c r="H56" s="10">
        <f t="shared" si="1"/>
        <v>4.4824218749999999E-2</v>
      </c>
    </row>
    <row r="57" spans="1:8" ht="15.5" x14ac:dyDescent="0.35">
      <c r="A57" s="118" t="s">
        <v>49</v>
      </c>
      <c r="B57" s="145"/>
      <c r="C57" s="19">
        <v>0.125</v>
      </c>
      <c r="D57" s="9" t="s">
        <v>25</v>
      </c>
      <c r="E57" s="126"/>
      <c r="F57" s="127"/>
      <c r="G57" s="21">
        <f>VLOOKUP(A57,'Storeroom - 50011'!$C$2:$J$400, 8, FALSE)</f>
        <v>0.58374999999999999</v>
      </c>
      <c r="H57" s="10">
        <f t="shared" si="1"/>
        <v>7.2968749999999999E-2</v>
      </c>
    </row>
    <row r="58" spans="1:8" ht="15.5" x14ac:dyDescent="0.35">
      <c r="A58" s="118" t="s">
        <v>50</v>
      </c>
      <c r="B58" s="145"/>
      <c r="C58" s="19">
        <v>0.125</v>
      </c>
      <c r="D58" s="9" t="s">
        <v>25</v>
      </c>
      <c r="E58" s="108"/>
      <c r="F58" s="109"/>
      <c r="G58" s="21">
        <f>VLOOKUP(A58,'Storeroom - 50011'!$C$2:$J$400, 8, FALSE)</f>
        <v>0.5625</v>
      </c>
      <c r="H58" s="10">
        <f t="shared" si="1"/>
        <v>7.03125E-2</v>
      </c>
    </row>
    <row r="59" spans="1:8" ht="15.5" x14ac:dyDescent="0.35">
      <c r="A59" s="118" t="s">
        <v>51</v>
      </c>
      <c r="B59" s="145"/>
      <c r="C59" s="19">
        <v>0.125</v>
      </c>
      <c r="D59" s="9" t="s">
        <v>25</v>
      </c>
      <c r="E59" s="108"/>
      <c r="F59" s="109"/>
      <c r="G59" s="21">
        <f>VLOOKUP(A59,'Storeroom - 50011'!$C$2:$J$400, 8, FALSE)</f>
        <v>0.38250000000000001</v>
      </c>
      <c r="H59" s="10">
        <f t="shared" si="1"/>
        <v>4.7812500000000001E-2</v>
      </c>
    </row>
    <row r="60" spans="1:8" ht="15.5" x14ac:dyDescent="0.35">
      <c r="A60" s="118"/>
      <c r="B60" s="145"/>
      <c r="C60" s="19"/>
      <c r="D60" s="9" t="s">
        <v>25</v>
      </c>
      <c r="E60" s="108"/>
      <c r="F60" s="109"/>
      <c r="G60" s="21" t="e">
        <f>VLOOKUP(A60,'Storeroom - 50011'!$C$2:$J$400, 8, FALSE)</f>
        <v>#N/A</v>
      </c>
      <c r="H60" s="10"/>
    </row>
    <row r="61" spans="1:8" ht="15.5" x14ac:dyDescent="0.35">
      <c r="A61" s="118"/>
      <c r="B61" s="145"/>
      <c r="C61" s="19"/>
      <c r="D61" s="9" t="s">
        <v>25</v>
      </c>
      <c r="E61" s="108"/>
      <c r="F61" s="109"/>
      <c r="G61" s="21" t="e">
        <f>VLOOKUP(A61,'Storeroom - 50011'!$C$2:$J$400, 8, FALSE)</f>
        <v>#N/A</v>
      </c>
      <c r="H61" s="10"/>
    </row>
    <row r="62" spans="1:8" ht="15.5" x14ac:dyDescent="0.35">
      <c r="A62" s="143" t="s">
        <v>26</v>
      </c>
      <c r="B62" s="144"/>
      <c r="C62" s="16"/>
      <c r="D62" s="15"/>
      <c r="E62" s="124">
        <f>H62/$H$81</f>
        <v>0</v>
      </c>
      <c r="F62" s="125"/>
      <c r="G62" s="27" t="s">
        <v>24</v>
      </c>
      <c r="H62" s="22">
        <f>SUM(H63:H65)</f>
        <v>0</v>
      </c>
    </row>
    <row r="63" spans="1:8" ht="15.5" x14ac:dyDescent="0.35">
      <c r="A63" s="118"/>
      <c r="B63" s="145"/>
      <c r="C63" s="13"/>
      <c r="D63" s="9" t="s">
        <v>25</v>
      </c>
      <c r="E63" s="126"/>
      <c r="F63" s="127"/>
      <c r="G63" s="21" t="e">
        <f>VLOOKUP(A63,'Meat - 50021'!$C$2:$L$400, 10, FALSE)</f>
        <v>#N/A</v>
      </c>
      <c r="H63" s="10"/>
    </row>
    <row r="64" spans="1:8" ht="15.5" x14ac:dyDescent="0.35">
      <c r="A64" s="118"/>
      <c r="B64" s="145"/>
      <c r="C64" s="13"/>
      <c r="D64" s="9" t="s">
        <v>25</v>
      </c>
      <c r="E64" s="108"/>
      <c r="F64" s="109"/>
      <c r="G64" s="21" t="e">
        <f>VLOOKUP(A64,'Meat - 50021'!$C$2:$L$400, 10, FALSE)</f>
        <v>#N/A</v>
      </c>
      <c r="H64" s="10"/>
    </row>
    <row r="65" spans="1:8" ht="15.5" x14ac:dyDescent="0.35">
      <c r="A65" s="118"/>
      <c r="B65" s="145"/>
      <c r="C65" s="13"/>
      <c r="D65" s="9" t="s">
        <v>25</v>
      </c>
      <c r="E65" s="126"/>
      <c r="F65" s="127"/>
      <c r="G65" s="21" t="e">
        <f>VLOOKUP(A65,'Meat - 50021'!$C$2:$L$400, 10, FALSE)</f>
        <v>#N/A</v>
      </c>
      <c r="H65" s="10"/>
    </row>
    <row r="66" spans="1:8" ht="15.5" x14ac:dyDescent="0.35">
      <c r="A66" s="143" t="s">
        <v>27</v>
      </c>
      <c r="B66" s="144"/>
      <c r="C66" s="16"/>
      <c r="D66" s="15"/>
      <c r="E66" s="124">
        <f>H66/$H$81</f>
        <v>0</v>
      </c>
      <c r="F66" s="125"/>
      <c r="G66" s="27" t="s">
        <v>24</v>
      </c>
      <c r="H66" s="22">
        <f>SUM(H67:H68)</f>
        <v>0</v>
      </c>
    </row>
    <row r="67" spans="1:8" ht="15.5" x14ac:dyDescent="0.35">
      <c r="A67" s="118"/>
      <c r="B67" s="145"/>
      <c r="C67" s="13"/>
      <c r="D67" s="9" t="s">
        <v>25</v>
      </c>
      <c r="E67" s="126"/>
      <c r="F67" s="127"/>
      <c r="G67" s="21" t="e">
        <f>VLOOKUP(A67,'Dairy - 50031'!$C$2:$J$400,8, FALSE)</f>
        <v>#N/A</v>
      </c>
      <c r="H67" s="10"/>
    </row>
    <row r="68" spans="1:8" ht="15.5" x14ac:dyDescent="0.35">
      <c r="A68" s="118"/>
      <c r="B68" s="145"/>
      <c r="C68" s="13"/>
      <c r="D68" s="9" t="s">
        <v>25</v>
      </c>
      <c r="E68" s="126"/>
      <c r="F68" s="127"/>
      <c r="G68" s="21" t="e">
        <f>VLOOKUP(A68,'Dairy - 50031'!$C$2:$J$400,8, FALSE)</f>
        <v>#N/A</v>
      </c>
      <c r="H68" s="10"/>
    </row>
    <row r="69" spans="1:8" ht="15.5" x14ac:dyDescent="0.35">
      <c r="A69" s="143" t="s">
        <v>30</v>
      </c>
      <c r="B69" s="144"/>
      <c r="C69" s="16"/>
      <c r="D69" s="15"/>
      <c r="E69" s="124">
        <f>H69/H81</f>
        <v>0</v>
      </c>
      <c r="F69" s="125"/>
      <c r="G69" s="27" t="s">
        <v>24</v>
      </c>
      <c r="H69" s="22">
        <f>SUM(H70:H74)</f>
        <v>0</v>
      </c>
    </row>
    <row r="70" spans="1:8" ht="15.5" x14ac:dyDescent="0.35">
      <c r="A70" s="118"/>
      <c r="B70" s="119"/>
      <c r="C70" s="13"/>
      <c r="D70" s="9" t="s">
        <v>25</v>
      </c>
      <c r="E70" s="108"/>
      <c r="F70" s="109"/>
      <c r="G70" s="21" t="e">
        <f>VLOOKUP(A70,'Produce - 50051'!$C$2:$L$400, 10, FALSE)</f>
        <v>#N/A</v>
      </c>
      <c r="H70" s="10"/>
    </row>
    <row r="71" spans="1:8" ht="15.5" x14ac:dyDescent="0.35">
      <c r="A71" s="118"/>
      <c r="B71" s="119"/>
      <c r="C71" s="13"/>
      <c r="D71" s="9" t="s">
        <v>25</v>
      </c>
      <c r="E71" s="108"/>
      <c r="F71" s="109"/>
      <c r="G71" s="21" t="e">
        <f>VLOOKUP(A71,'Produce - 50051'!$C$2:$L$400, 10, FALSE)</f>
        <v>#N/A</v>
      </c>
      <c r="H71" s="10"/>
    </row>
    <row r="72" spans="1:8" ht="15.5" x14ac:dyDescent="0.35">
      <c r="A72" s="118"/>
      <c r="B72" s="119"/>
      <c r="C72" s="13"/>
      <c r="D72" s="9" t="s">
        <v>25</v>
      </c>
      <c r="E72" s="108"/>
      <c r="F72" s="109"/>
      <c r="G72" s="21" t="e">
        <f>VLOOKUP(A72,'Produce - 50051'!$C$2:$L$400, 10, FALSE)</f>
        <v>#N/A</v>
      </c>
      <c r="H72" s="10"/>
    </row>
    <row r="73" spans="1:8" ht="15.5" x14ac:dyDescent="0.35">
      <c r="A73" s="118"/>
      <c r="B73" s="119"/>
      <c r="C73" s="13"/>
      <c r="D73" s="9" t="s">
        <v>25</v>
      </c>
      <c r="E73" s="108"/>
      <c r="F73" s="109"/>
      <c r="G73" s="21" t="e">
        <f>VLOOKUP(A73,'Produce - 50051'!$C$2:$L$400, 10, FALSE)</f>
        <v>#N/A</v>
      </c>
      <c r="H73" s="10"/>
    </row>
    <row r="74" spans="1:8" ht="15.5" x14ac:dyDescent="0.35">
      <c r="A74" s="118"/>
      <c r="B74" s="119"/>
      <c r="C74" s="13"/>
      <c r="D74" s="9" t="s">
        <v>25</v>
      </c>
      <c r="E74" s="108"/>
      <c r="F74" s="109"/>
      <c r="G74" s="21" t="e">
        <f>VLOOKUP(A74,'Produce - 50051'!$C$2:$L$400, 10, FALSE)</f>
        <v>#N/A</v>
      </c>
      <c r="H74" s="10"/>
    </row>
    <row r="75" spans="1:8" ht="15.5" x14ac:dyDescent="0.35">
      <c r="A75" s="114" t="s">
        <v>34</v>
      </c>
      <c r="B75" s="115"/>
      <c r="C75" s="16"/>
      <c r="D75" s="15"/>
      <c r="E75" s="122">
        <f>H75/$H$81</f>
        <v>0</v>
      </c>
      <c r="F75" s="123"/>
      <c r="G75" s="27" t="s">
        <v>24</v>
      </c>
      <c r="H75" s="22">
        <f>SUM(H76:H80)</f>
        <v>0</v>
      </c>
    </row>
    <row r="76" spans="1:8" ht="15.5" x14ac:dyDescent="0.35">
      <c r="A76" s="118"/>
      <c r="B76" s="119"/>
      <c r="C76" s="13"/>
      <c r="D76" s="9" t="s">
        <v>29</v>
      </c>
      <c r="E76" s="108"/>
      <c r="F76" s="109"/>
      <c r="G76" s="21" t="e">
        <f>VLOOKUP(A76,'Bakery - 50041'!$C$2:$J$400, 8, FALSE)</f>
        <v>#N/A</v>
      </c>
      <c r="H76" s="10"/>
    </row>
    <row r="77" spans="1:8" ht="15.5" x14ac:dyDescent="0.35">
      <c r="A77" s="118"/>
      <c r="B77" s="119"/>
      <c r="C77" s="13"/>
      <c r="D77" s="9" t="s">
        <v>25</v>
      </c>
      <c r="E77" s="108"/>
      <c r="F77" s="109"/>
      <c r="G77" s="21" t="e">
        <f>VLOOKUP(A77,'Bakery - 50041'!$C$2:$J$400, 8, FALSE)</f>
        <v>#N/A</v>
      </c>
      <c r="H77" s="10"/>
    </row>
    <row r="78" spans="1:8" ht="15.5" x14ac:dyDescent="0.35">
      <c r="A78" s="114" t="s">
        <v>35</v>
      </c>
      <c r="B78" s="115"/>
      <c r="C78" s="16"/>
      <c r="D78" s="15"/>
      <c r="E78" s="116">
        <f>H78/$H$81</f>
        <v>0</v>
      </c>
      <c r="F78" s="18"/>
      <c r="G78" s="27" t="s">
        <v>24</v>
      </c>
      <c r="H78" s="22">
        <f>SUM(H79:H80)</f>
        <v>0</v>
      </c>
    </row>
    <row r="79" spans="1:8" ht="15.5" x14ac:dyDescent="0.35">
      <c r="A79" s="118"/>
      <c r="B79" s="119"/>
      <c r="C79" s="13"/>
      <c r="D79" s="9" t="s">
        <v>25</v>
      </c>
      <c r="E79" s="108"/>
      <c r="F79" s="109"/>
      <c r="G79" s="21" t="e">
        <f>VLOOKUP(A79,'Frozen - 50061'!$C$2:$J$400, 8, FALSE)</f>
        <v>#N/A</v>
      </c>
      <c r="H79" s="10"/>
    </row>
    <row r="80" spans="1:8" ht="15.5" x14ac:dyDescent="0.35">
      <c r="A80" s="118"/>
      <c r="B80" s="119"/>
      <c r="C80" s="36"/>
      <c r="D80" s="37" t="s">
        <v>25</v>
      </c>
      <c r="E80" s="120"/>
      <c r="F80" s="121"/>
      <c r="G80" s="21" t="e">
        <f>VLOOKUP(A80,'Frozen - 50061'!$C$2:$J$400, 8, FALSE)</f>
        <v>#N/A</v>
      </c>
      <c r="H80" s="10"/>
    </row>
    <row r="81" spans="1:8" ht="16" thickBot="1" x14ac:dyDescent="0.4">
      <c r="A81" s="30"/>
      <c r="B81" s="40"/>
      <c r="C81" s="31"/>
      <c r="D81" s="31"/>
      <c r="E81" s="31"/>
      <c r="F81" s="4" t="s">
        <v>37</v>
      </c>
      <c r="G81" s="4"/>
      <c r="H81" s="35">
        <f>H78+H75+H69+H66+H62+H53</f>
        <v>0.35131588541666664</v>
      </c>
    </row>
    <row r="82" spans="1:8" ht="16" thickBot="1" x14ac:dyDescent="0.4">
      <c r="A82" s="38"/>
      <c r="B82" s="41"/>
      <c r="C82" s="29"/>
      <c r="D82" s="29"/>
      <c r="E82" s="29"/>
      <c r="F82" s="4" t="s">
        <v>38</v>
      </c>
      <c r="G82" s="4"/>
      <c r="H82" s="12"/>
    </row>
    <row r="83" spans="1:8" ht="16" thickBot="1" x14ac:dyDescent="0.4">
      <c r="A83" s="39"/>
      <c r="B83" s="42"/>
      <c r="C83" s="29"/>
      <c r="D83" s="29"/>
      <c r="E83" s="29"/>
      <c r="F83" s="4" t="s">
        <v>39</v>
      </c>
      <c r="G83" s="4"/>
      <c r="H83" s="11" t="e">
        <f>H81/D49</f>
        <v>#DIV/0!</v>
      </c>
    </row>
    <row r="84" spans="1:8" ht="16" thickBot="1" x14ac:dyDescent="0.4">
      <c r="A84" s="39"/>
      <c r="B84" s="42"/>
      <c r="C84" s="29"/>
      <c r="D84" s="29"/>
      <c r="E84" s="29"/>
      <c r="F84" s="23" t="s">
        <v>40</v>
      </c>
      <c r="H84" s="25" t="e">
        <f>H82-H83</f>
        <v>#DIV/0!</v>
      </c>
    </row>
    <row r="85" spans="1:8" ht="16" thickBot="1" x14ac:dyDescent="0.4">
      <c r="A85" s="39"/>
      <c r="B85" s="42"/>
      <c r="C85" s="29"/>
      <c r="D85" s="29"/>
      <c r="E85" s="29"/>
      <c r="F85" s="24" t="s">
        <v>41</v>
      </c>
      <c r="H85" s="88" t="e">
        <f>H84/H82</f>
        <v>#DIV/0!</v>
      </c>
    </row>
    <row r="86" spans="1:8" ht="18" customHeight="1" x14ac:dyDescent="0.35">
      <c r="A86" s="130" t="s">
        <v>52</v>
      </c>
      <c r="B86" s="130"/>
      <c r="C86" s="130"/>
      <c r="D86" s="130"/>
      <c r="E86" s="130"/>
      <c r="F86" s="130"/>
      <c r="G86" s="130"/>
      <c r="H86" s="130"/>
    </row>
    <row r="87" spans="1:8" ht="15" customHeight="1" x14ac:dyDescent="0.35">
      <c r="A87" s="130"/>
      <c r="B87" s="130"/>
      <c r="C87" s="130"/>
      <c r="D87" s="130"/>
      <c r="E87" s="130"/>
      <c r="F87" s="130"/>
      <c r="G87" s="130"/>
      <c r="H87" s="130"/>
    </row>
    <row r="88" spans="1:8" ht="15" customHeight="1" x14ac:dyDescent="0.35">
      <c r="A88" s="130"/>
      <c r="B88" s="130"/>
      <c r="C88" s="130"/>
      <c r="D88" s="130"/>
      <c r="E88" s="130"/>
      <c r="F88" s="130"/>
      <c r="G88" s="130"/>
      <c r="H88" s="130"/>
    </row>
    <row r="89" spans="1:8" ht="15" customHeight="1" thickBot="1" x14ac:dyDescent="0.4">
      <c r="A89" s="131"/>
      <c r="B89" s="131"/>
      <c r="C89" s="131"/>
      <c r="D89" s="131"/>
      <c r="E89" s="131"/>
      <c r="F89" s="131"/>
      <c r="G89" s="131"/>
      <c r="H89" s="131"/>
    </row>
    <row r="90" spans="1:8" ht="26.5" thickBot="1" x14ac:dyDescent="0.4">
      <c r="A90" s="132" t="s">
        <v>7</v>
      </c>
      <c r="B90" s="132"/>
      <c r="C90" s="132"/>
      <c r="D90" s="133" t="s">
        <v>8</v>
      </c>
      <c r="E90" s="133"/>
      <c r="F90" s="133"/>
      <c r="G90" s="133"/>
      <c r="H90" s="133"/>
    </row>
    <row r="91" spans="1:8" ht="15.5" x14ac:dyDescent="0.35">
      <c r="A91" s="4" t="s">
        <v>9</v>
      </c>
      <c r="B91" s="5" t="s">
        <v>53</v>
      </c>
      <c r="C91" s="3"/>
      <c r="D91" s="3"/>
      <c r="E91" s="95" t="s">
        <v>10</v>
      </c>
      <c r="F91" s="96"/>
      <c r="G91" s="96"/>
      <c r="H91" s="97"/>
    </row>
    <row r="92" spans="1:8" ht="16" thickBot="1" x14ac:dyDescent="0.4">
      <c r="A92" s="6" t="s">
        <v>11</v>
      </c>
      <c r="B92" s="5"/>
      <c r="C92" s="4" t="s">
        <v>12</v>
      </c>
      <c r="D92" s="7"/>
      <c r="E92" s="94" t="s">
        <v>13</v>
      </c>
      <c r="F92" s="110"/>
      <c r="G92" s="110"/>
      <c r="H92" s="111"/>
    </row>
    <row r="93" spans="1:8" ht="15.5" x14ac:dyDescent="0.35">
      <c r="A93" s="4" t="s">
        <v>14</v>
      </c>
      <c r="B93" s="34"/>
      <c r="C93" s="4" t="s">
        <v>15</v>
      </c>
      <c r="D93" s="7"/>
      <c r="E93" s="5" t="s">
        <v>45</v>
      </c>
      <c r="H93" s="3"/>
    </row>
    <row r="94" spans="1:8" ht="15.5" x14ac:dyDescent="0.35">
      <c r="A94" s="134" t="s">
        <v>16</v>
      </c>
      <c r="B94" s="135"/>
      <c r="C94" s="138" t="s">
        <v>17</v>
      </c>
      <c r="D94" s="139"/>
      <c r="E94" s="140" t="s">
        <v>18</v>
      </c>
      <c r="F94" s="141"/>
      <c r="G94" s="141"/>
      <c r="H94" s="142"/>
    </row>
    <row r="95" spans="1:8" ht="15.5" x14ac:dyDescent="0.35">
      <c r="A95" s="136"/>
      <c r="B95" s="137"/>
      <c r="C95" s="8" t="s">
        <v>19</v>
      </c>
      <c r="D95" s="8" t="s">
        <v>20</v>
      </c>
      <c r="E95" s="112"/>
      <c r="F95" s="113"/>
      <c r="G95" s="28" t="s">
        <v>21</v>
      </c>
      <c r="H95" s="91" t="s">
        <v>22</v>
      </c>
    </row>
    <row r="96" spans="1:8" ht="15.5" x14ac:dyDescent="0.35">
      <c r="A96" s="105" t="s">
        <v>23</v>
      </c>
      <c r="B96" s="106"/>
      <c r="C96" s="14"/>
      <c r="D96" s="15"/>
      <c r="E96" s="128">
        <f>H96/$H$124</f>
        <v>0.14270844535603766</v>
      </c>
      <c r="F96" s="129"/>
      <c r="G96" s="17" t="s">
        <v>24</v>
      </c>
      <c r="H96" s="22">
        <f>SUM(H97:H104)</f>
        <v>0.3419140625</v>
      </c>
    </row>
    <row r="97" spans="1:8" ht="15.5" x14ac:dyDescent="0.35">
      <c r="A97" s="118" t="s">
        <v>48</v>
      </c>
      <c r="B97" s="119"/>
      <c r="C97" s="19">
        <v>3</v>
      </c>
      <c r="D97" s="9" t="s">
        <v>25</v>
      </c>
      <c r="E97" s="126"/>
      <c r="F97" s="127"/>
      <c r="G97" s="21">
        <f>VLOOKUP(A97,'Storeroom - 50011'!$C$2:$J$400, 8, FALSE)</f>
        <v>8.9648437499999997E-2</v>
      </c>
      <c r="H97" s="10">
        <f>G97*C97</f>
        <v>0.26894531249999998</v>
      </c>
    </row>
    <row r="98" spans="1:8" ht="15.5" x14ac:dyDescent="0.35">
      <c r="A98" s="118" t="s">
        <v>49</v>
      </c>
      <c r="B98" s="119"/>
      <c r="C98" s="19">
        <v>0.125</v>
      </c>
      <c r="D98" s="9" t="s">
        <v>25</v>
      </c>
      <c r="E98" s="126"/>
      <c r="F98" s="127"/>
      <c r="G98" s="21">
        <f>VLOOKUP(A98,'Storeroom - 50011'!$C$2:$J$400, 8, FALSE)</f>
        <v>0.58374999999999999</v>
      </c>
      <c r="H98" s="10">
        <f>G98*C98</f>
        <v>7.2968749999999999E-2</v>
      </c>
    </row>
    <row r="99" spans="1:8" ht="15.5" x14ac:dyDescent="0.35">
      <c r="A99" s="118"/>
      <c r="B99" s="119"/>
      <c r="C99" s="19"/>
      <c r="D99" s="9" t="s">
        <v>25</v>
      </c>
      <c r="E99" s="126"/>
      <c r="F99" s="127"/>
      <c r="G99" s="21" t="e">
        <f>VLOOKUP(A99,'Storeroom - 50011'!$C$2:$J$400, 8, FALSE)</f>
        <v>#N/A</v>
      </c>
      <c r="H99" s="10"/>
    </row>
    <row r="100" spans="1:8" ht="15.5" x14ac:dyDescent="0.35">
      <c r="A100" s="118"/>
      <c r="B100" s="119"/>
      <c r="C100" s="19"/>
      <c r="D100" s="9" t="s">
        <v>25</v>
      </c>
      <c r="E100" s="126"/>
      <c r="F100" s="127"/>
      <c r="G100" s="21" t="e">
        <f>VLOOKUP(A100,'Storeroom - 50011'!$C$2:$J$400, 8, FALSE)</f>
        <v>#N/A</v>
      </c>
      <c r="H100" s="10"/>
    </row>
    <row r="101" spans="1:8" ht="15.5" x14ac:dyDescent="0.35">
      <c r="A101" s="118"/>
      <c r="B101" s="119"/>
      <c r="C101" s="19"/>
      <c r="D101" s="9" t="s">
        <v>25</v>
      </c>
      <c r="E101" s="108"/>
      <c r="F101" s="109"/>
      <c r="G101" s="21" t="e">
        <f>VLOOKUP(A101,'Storeroom - 50011'!$C$2:$J$400, 8, FALSE)</f>
        <v>#N/A</v>
      </c>
      <c r="H101" s="10"/>
    </row>
    <row r="102" spans="1:8" ht="15.5" x14ac:dyDescent="0.35">
      <c r="A102" s="118"/>
      <c r="B102" s="119"/>
      <c r="C102" s="19"/>
      <c r="D102" s="9" t="s">
        <v>25</v>
      </c>
      <c r="E102" s="108"/>
      <c r="F102" s="109"/>
      <c r="G102" s="21" t="e">
        <f>VLOOKUP(A102,'Storeroom - 50011'!$C$2:$J$400, 8, FALSE)</f>
        <v>#N/A</v>
      </c>
      <c r="H102" s="10"/>
    </row>
    <row r="103" spans="1:8" ht="15.5" x14ac:dyDescent="0.35">
      <c r="A103" s="118"/>
      <c r="B103" s="119"/>
      <c r="C103" s="19"/>
      <c r="D103" s="9" t="s">
        <v>25</v>
      </c>
      <c r="E103" s="108"/>
      <c r="F103" s="109"/>
      <c r="G103" s="21" t="e">
        <f>VLOOKUP(A103,'Storeroom - 50011'!$C$2:$J$400, 8, FALSE)</f>
        <v>#N/A</v>
      </c>
      <c r="H103" s="10"/>
    </row>
    <row r="104" spans="1:8" ht="15.5" x14ac:dyDescent="0.35">
      <c r="A104" s="118"/>
      <c r="B104" s="119"/>
      <c r="C104" s="19"/>
      <c r="D104" s="9" t="s">
        <v>25</v>
      </c>
      <c r="E104" s="108"/>
      <c r="F104" s="109"/>
      <c r="G104" s="21" t="e">
        <f>VLOOKUP(A104,'Storeroom - 50011'!$C$2:$J$400, 8, FALSE)</f>
        <v>#N/A</v>
      </c>
      <c r="H104" s="10"/>
    </row>
    <row r="105" spans="1:8" ht="15.5" x14ac:dyDescent="0.35">
      <c r="A105" s="114" t="s">
        <v>26</v>
      </c>
      <c r="B105" s="115"/>
      <c r="C105" s="16"/>
      <c r="D105" s="15"/>
      <c r="E105" s="124">
        <f>H105/$H$124</f>
        <v>0</v>
      </c>
      <c r="F105" s="125"/>
      <c r="G105" s="27" t="s">
        <v>24</v>
      </c>
      <c r="H105" s="22">
        <f>SUM(H106:H108)</f>
        <v>0</v>
      </c>
    </row>
    <row r="106" spans="1:8" ht="15.5" x14ac:dyDescent="0.35">
      <c r="A106" s="118"/>
      <c r="B106" s="119"/>
      <c r="C106" s="13"/>
      <c r="D106" s="9" t="s">
        <v>25</v>
      </c>
      <c r="E106" s="126"/>
      <c r="F106" s="127"/>
      <c r="G106" s="21" t="e">
        <f>VLOOKUP(A106,'Meat - 50021'!$C$2:$L$400, 10, FALSE)</f>
        <v>#N/A</v>
      </c>
      <c r="H106" s="10"/>
    </row>
    <row r="107" spans="1:8" ht="15.5" x14ac:dyDescent="0.35">
      <c r="A107" s="118"/>
      <c r="B107" s="119"/>
      <c r="C107" s="13"/>
      <c r="D107" s="9" t="s">
        <v>25</v>
      </c>
      <c r="E107" s="108"/>
      <c r="F107" s="109"/>
      <c r="G107" s="21" t="e">
        <f>VLOOKUP(A107,'Meat - 50021'!$C$2:$L$400, 10, FALSE)</f>
        <v>#N/A</v>
      </c>
      <c r="H107" s="10"/>
    </row>
    <row r="108" spans="1:8" ht="15.5" x14ac:dyDescent="0.35">
      <c r="A108" s="118"/>
      <c r="B108" s="119"/>
      <c r="C108" s="13"/>
      <c r="D108" s="9" t="s">
        <v>25</v>
      </c>
      <c r="E108" s="126"/>
      <c r="F108" s="127"/>
      <c r="G108" s="21" t="e">
        <f>VLOOKUP(A108,'Meat - 50021'!$C$2:$L$400, 10, FALSE)</f>
        <v>#N/A</v>
      </c>
      <c r="H108" s="10"/>
    </row>
    <row r="109" spans="1:8" ht="15.5" x14ac:dyDescent="0.35">
      <c r="A109" s="114" t="s">
        <v>27</v>
      </c>
      <c r="B109" s="115"/>
      <c r="C109" s="16"/>
      <c r="D109" s="15"/>
      <c r="E109" s="124">
        <f>H109/$H$124</f>
        <v>0</v>
      </c>
      <c r="F109" s="125"/>
      <c r="G109" s="27" t="s">
        <v>24</v>
      </c>
      <c r="H109" s="22">
        <f>SUM(H110:H111)</f>
        <v>0</v>
      </c>
    </row>
    <row r="110" spans="1:8" ht="15.5" x14ac:dyDescent="0.35">
      <c r="A110" s="118"/>
      <c r="B110" s="119"/>
      <c r="C110" s="13"/>
      <c r="D110" s="9" t="s">
        <v>25</v>
      </c>
      <c r="E110" s="126"/>
      <c r="F110" s="127"/>
      <c r="G110" s="21" t="e">
        <f>VLOOKUP(A110,'Dairy - 50031'!$C$2:$J$400,8, FALSE)</f>
        <v>#N/A</v>
      </c>
      <c r="H110" s="10"/>
    </row>
    <row r="111" spans="1:8" ht="15.5" x14ac:dyDescent="0.35">
      <c r="A111" s="118"/>
      <c r="B111" s="119"/>
      <c r="C111" s="13"/>
      <c r="D111" s="9" t="s">
        <v>25</v>
      </c>
      <c r="E111" s="126"/>
      <c r="F111" s="127"/>
      <c r="G111" s="21" t="e">
        <f>VLOOKUP(A111,'Dairy - 50031'!$C$2:$J$400,8, FALSE)</f>
        <v>#N/A</v>
      </c>
      <c r="H111" s="10"/>
    </row>
    <row r="112" spans="1:8" ht="15.5" x14ac:dyDescent="0.35">
      <c r="A112" s="114" t="s">
        <v>30</v>
      </c>
      <c r="B112" s="115"/>
      <c r="C112" s="16"/>
      <c r="D112" s="15"/>
      <c r="E112" s="124">
        <f>H112/$H$124</f>
        <v>0.34391288134670278</v>
      </c>
      <c r="F112" s="125"/>
      <c r="G112" s="27" t="s">
        <v>24</v>
      </c>
      <c r="H112" s="22">
        <f>SUM(H113:H117)</f>
        <v>0.82397821736453181</v>
      </c>
    </row>
    <row r="113" spans="1:8" ht="15.5" x14ac:dyDescent="0.35">
      <c r="A113" s="118" t="s">
        <v>54</v>
      </c>
      <c r="B113" s="119"/>
      <c r="C113" s="13">
        <v>0.125</v>
      </c>
      <c r="D113" s="9" t="s">
        <v>25</v>
      </c>
      <c r="E113" s="108"/>
      <c r="F113" s="109"/>
      <c r="G113" s="21">
        <f>VLOOKUP(A113,'Produce - 50051'!$C$2:$L$400, 10, FALSE)</f>
        <v>1.6004464285714284</v>
      </c>
      <c r="H113" s="10">
        <f>G113*C113</f>
        <v>0.20005580357142855</v>
      </c>
    </row>
    <row r="114" spans="1:8" ht="15.5" x14ac:dyDescent="0.35">
      <c r="A114" s="118" t="s">
        <v>55</v>
      </c>
      <c r="B114" s="119"/>
      <c r="C114" s="13">
        <v>0.25</v>
      </c>
      <c r="D114" s="9" t="s">
        <v>25</v>
      </c>
      <c r="E114" s="108"/>
      <c r="F114" s="109"/>
      <c r="G114" s="21">
        <f>VLOOKUP(A114,'Produce - 50051'!$C$2:$L$400, 10, FALSE)</f>
        <v>2.2791666666666663</v>
      </c>
      <c r="H114" s="10">
        <f t="shared" ref="H114:H115" si="2">G114*C114</f>
        <v>0.56979166666666659</v>
      </c>
    </row>
    <row r="115" spans="1:8" ht="15.5" x14ac:dyDescent="0.35">
      <c r="A115" s="118" t="s">
        <v>56</v>
      </c>
      <c r="B115" s="119"/>
      <c r="C115" s="13">
        <v>0.25</v>
      </c>
      <c r="D115" s="9" t="s">
        <v>25</v>
      </c>
      <c r="E115" s="108"/>
      <c r="F115" s="109"/>
      <c r="G115" s="21">
        <f>VLOOKUP(A115,'Produce - 50051'!$C$2:$L$400, 10, FALSE)</f>
        <v>0.21652298850574714</v>
      </c>
      <c r="H115" s="10">
        <f t="shared" si="2"/>
        <v>5.4130747126436785E-2</v>
      </c>
    </row>
    <row r="116" spans="1:8" ht="15.5" x14ac:dyDescent="0.35">
      <c r="A116" s="118"/>
      <c r="B116" s="119"/>
      <c r="C116" s="13"/>
      <c r="D116" s="9" t="s">
        <v>25</v>
      </c>
      <c r="E116" s="108"/>
      <c r="F116" s="109"/>
      <c r="G116" s="21" t="e">
        <f>VLOOKUP(A116,'Produce - 50051'!$C$2:$L$400, 10, FALSE)</f>
        <v>#N/A</v>
      </c>
      <c r="H116" s="10"/>
    </row>
    <row r="117" spans="1:8" ht="15.5" x14ac:dyDescent="0.35">
      <c r="A117" s="118"/>
      <c r="B117" s="119"/>
      <c r="C117" s="13"/>
      <c r="D117" s="9" t="s">
        <v>25</v>
      </c>
      <c r="E117" s="108"/>
      <c r="F117" s="109"/>
      <c r="G117" s="21" t="e">
        <f>VLOOKUP(A117,'Produce - 50051'!$C$2:$L$400, 10, FALSE)</f>
        <v>#N/A</v>
      </c>
      <c r="H117" s="10"/>
    </row>
    <row r="118" spans="1:8" ht="15.5" x14ac:dyDescent="0.35">
      <c r="A118" s="114" t="s">
        <v>34</v>
      </c>
      <c r="B118" s="115"/>
      <c r="C118" s="16"/>
      <c r="D118" s="15"/>
      <c r="E118" s="122">
        <f>H118/$H$124</f>
        <v>0.3422524488648398</v>
      </c>
      <c r="F118" s="123"/>
      <c r="G118" s="27" t="s">
        <v>24</v>
      </c>
      <c r="H118" s="22">
        <f>SUM(H119:H123)</f>
        <v>0.82</v>
      </c>
    </row>
    <row r="119" spans="1:8" ht="15.5" x14ac:dyDescent="0.35">
      <c r="A119" s="118"/>
      <c r="B119" s="119"/>
      <c r="C119" s="13"/>
      <c r="D119" s="9" t="s">
        <v>29</v>
      </c>
      <c r="E119" s="108"/>
      <c r="F119" s="109"/>
      <c r="G119" s="21" t="e">
        <f>VLOOKUP(A119,'Bakery - 50041'!$C$2:$J$400, 8, FALSE)</f>
        <v>#N/A</v>
      </c>
      <c r="H119" s="10"/>
    </row>
    <row r="120" spans="1:8" ht="15.5" x14ac:dyDescent="0.35">
      <c r="A120" s="118"/>
      <c r="B120" s="119"/>
      <c r="C120" s="13"/>
      <c r="D120" s="9" t="s">
        <v>25</v>
      </c>
      <c r="E120" s="108"/>
      <c r="F120" s="109"/>
      <c r="G120" s="21" t="e">
        <f>VLOOKUP(A120,'Bakery - 50041'!$C$2:$J$400, 8, FALSE)</f>
        <v>#N/A</v>
      </c>
      <c r="H120" s="10"/>
    </row>
    <row r="121" spans="1:8" ht="15.5" x14ac:dyDescent="0.35">
      <c r="A121" s="114" t="s">
        <v>35</v>
      </c>
      <c r="B121" s="115"/>
      <c r="C121" s="16"/>
      <c r="D121" s="15"/>
      <c r="E121" s="116">
        <f>H121/$H$124</f>
        <v>0.1711262244324199</v>
      </c>
      <c r="F121" s="18"/>
      <c r="G121" s="27" t="s">
        <v>24</v>
      </c>
      <c r="H121" s="22">
        <f>SUM(H122:H123)</f>
        <v>0.41</v>
      </c>
    </row>
    <row r="122" spans="1:8" ht="15.5" x14ac:dyDescent="0.35">
      <c r="A122" s="118" t="s">
        <v>57</v>
      </c>
      <c r="B122" s="119"/>
      <c r="C122" s="13">
        <v>1</v>
      </c>
      <c r="D122" s="9" t="s">
        <v>29</v>
      </c>
      <c r="E122" s="108"/>
      <c r="F122" s="109"/>
      <c r="G122" s="21">
        <f>VLOOKUP(A122,'Frozen - 50061'!$C$2:$J$400, 8, FALSE)</f>
        <v>0.41</v>
      </c>
      <c r="H122" s="10">
        <f>G122*C122</f>
        <v>0.41</v>
      </c>
    </row>
    <row r="123" spans="1:8" ht="15.5" x14ac:dyDescent="0.35">
      <c r="A123" s="118"/>
      <c r="B123" s="119"/>
      <c r="C123" s="36"/>
      <c r="D123" s="37" t="s">
        <v>25</v>
      </c>
      <c r="E123" s="120"/>
      <c r="F123" s="121"/>
      <c r="G123" s="21" t="e">
        <f>VLOOKUP(A123,'Frozen - 50061'!$C$2:$J$400, 8, FALSE)</f>
        <v>#N/A</v>
      </c>
      <c r="H123" s="10"/>
    </row>
    <row r="124" spans="1:8" ht="16" thickBot="1" x14ac:dyDescent="0.4">
      <c r="A124" s="30"/>
      <c r="B124" s="40"/>
      <c r="C124" s="31"/>
      <c r="D124" s="31"/>
      <c r="E124" s="31"/>
      <c r="F124" s="4" t="s">
        <v>37</v>
      </c>
      <c r="G124" s="4"/>
      <c r="H124" s="35">
        <f>H121+H118+H112+H109+H105+H96</f>
        <v>2.3958922798645315</v>
      </c>
    </row>
    <row r="125" spans="1:8" ht="16" thickBot="1" x14ac:dyDescent="0.4">
      <c r="A125" s="38"/>
      <c r="B125" s="41"/>
      <c r="C125" s="29"/>
      <c r="D125" s="29"/>
      <c r="E125" s="29"/>
      <c r="F125" s="4" t="s">
        <v>38</v>
      </c>
      <c r="G125" s="4"/>
      <c r="H125" s="12"/>
    </row>
    <row r="126" spans="1:8" ht="16" thickBot="1" x14ac:dyDescent="0.4">
      <c r="A126" s="39"/>
      <c r="B126" s="42"/>
      <c r="C126" s="29"/>
      <c r="D126" s="29"/>
      <c r="E126" s="29"/>
      <c r="F126" s="4" t="s">
        <v>39</v>
      </c>
      <c r="G126" s="4"/>
      <c r="H126" s="11" t="e">
        <f>H124/D93</f>
        <v>#DIV/0!</v>
      </c>
    </row>
    <row r="127" spans="1:8" ht="16" thickBot="1" x14ac:dyDescent="0.4">
      <c r="A127" s="39"/>
      <c r="B127" s="42"/>
      <c r="C127" s="29"/>
      <c r="D127" s="29"/>
      <c r="E127" s="29"/>
      <c r="F127" s="23" t="s">
        <v>40</v>
      </c>
      <c r="H127" s="25" t="e">
        <f>H125-H126</f>
        <v>#DIV/0!</v>
      </c>
    </row>
    <row r="128" spans="1:8" ht="16" thickBot="1" x14ac:dyDescent="0.4">
      <c r="A128" s="39"/>
      <c r="B128" s="42"/>
      <c r="C128" s="29"/>
      <c r="D128" s="29"/>
      <c r="E128" s="29"/>
      <c r="F128" s="24" t="s">
        <v>41</v>
      </c>
      <c r="H128" s="26" t="e">
        <f>H127/H125</f>
        <v>#DIV/0!</v>
      </c>
    </row>
  </sheetData>
  <mergeCells count="137">
    <mergeCell ref="A7:B7"/>
    <mergeCell ref="E7:F7"/>
    <mergeCell ref="A8:B8"/>
    <mergeCell ref="E8:F8"/>
    <mergeCell ref="A9:B9"/>
    <mergeCell ref="E9:F9"/>
    <mergeCell ref="A1:C1"/>
    <mergeCell ref="D1:H1"/>
    <mergeCell ref="E3:H3"/>
    <mergeCell ref="A5:B6"/>
    <mergeCell ref="C5:D5"/>
    <mergeCell ref="E5:H5"/>
    <mergeCell ref="E6:F6"/>
    <mergeCell ref="A14:B14"/>
    <mergeCell ref="A15:B15"/>
    <mergeCell ref="A16:B16"/>
    <mergeCell ref="E16:F16"/>
    <mergeCell ref="A17:B17"/>
    <mergeCell ref="E17:F17"/>
    <mergeCell ref="A10:B10"/>
    <mergeCell ref="E10:F10"/>
    <mergeCell ref="A11:B11"/>
    <mergeCell ref="E11:F11"/>
    <mergeCell ref="A12:B12"/>
    <mergeCell ref="A13:B13"/>
    <mergeCell ref="A22:B22"/>
    <mergeCell ref="E22:F22"/>
    <mergeCell ref="A23:B23"/>
    <mergeCell ref="E23:F23"/>
    <mergeCell ref="A24:B24"/>
    <mergeCell ref="A25:B25"/>
    <mergeCell ref="A18:B18"/>
    <mergeCell ref="A19:B19"/>
    <mergeCell ref="E19:F19"/>
    <mergeCell ref="A20:B20"/>
    <mergeCell ref="E20:F20"/>
    <mergeCell ref="A21:B21"/>
    <mergeCell ref="E21:F21"/>
    <mergeCell ref="A33:B33"/>
    <mergeCell ref="A34:B34"/>
    <mergeCell ref="E34:F34"/>
    <mergeCell ref="A43:H46"/>
    <mergeCell ref="A47:C47"/>
    <mergeCell ref="D47:H47"/>
    <mergeCell ref="A26:B26"/>
    <mergeCell ref="A27:B27"/>
    <mergeCell ref="A28:B28"/>
    <mergeCell ref="E29:F29"/>
    <mergeCell ref="A30:B30"/>
    <mergeCell ref="A31:B31"/>
    <mergeCell ref="A54:B54"/>
    <mergeCell ref="E54:F54"/>
    <mergeCell ref="A55:B55"/>
    <mergeCell ref="E55:F55"/>
    <mergeCell ref="A56:B56"/>
    <mergeCell ref="E56:F56"/>
    <mergeCell ref="E49:H49"/>
    <mergeCell ref="A51:B52"/>
    <mergeCell ref="C51:D51"/>
    <mergeCell ref="E51:H51"/>
    <mergeCell ref="E52:F52"/>
    <mergeCell ref="A53:B53"/>
    <mergeCell ref="E53:F53"/>
    <mergeCell ref="A62:B62"/>
    <mergeCell ref="E62:F62"/>
    <mergeCell ref="A63:B63"/>
    <mergeCell ref="E63:F63"/>
    <mergeCell ref="A64:B64"/>
    <mergeCell ref="A65:B65"/>
    <mergeCell ref="E65:F65"/>
    <mergeCell ref="A57:B57"/>
    <mergeCell ref="E57:F57"/>
    <mergeCell ref="A58:B58"/>
    <mergeCell ref="A59:B59"/>
    <mergeCell ref="A60:B60"/>
    <mergeCell ref="A61:B61"/>
    <mergeCell ref="A69:B69"/>
    <mergeCell ref="E69:F69"/>
    <mergeCell ref="A70:B70"/>
    <mergeCell ref="A71:B71"/>
    <mergeCell ref="A72:B72"/>
    <mergeCell ref="A73:B73"/>
    <mergeCell ref="A66:B66"/>
    <mergeCell ref="E66:F66"/>
    <mergeCell ref="A67:B67"/>
    <mergeCell ref="E67:F67"/>
    <mergeCell ref="A68:B68"/>
    <mergeCell ref="E68:F68"/>
    <mergeCell ref="A86:H89"/>
    <mergeCell ref="A90:C90"/>
    <mergeCell ref="D90:H90"/>
    <mergeCell ref="A94:B95"/>
    <mergeCell ref="C94:D94"/>
    <mergeCell ref="E94:H94"/>
    <mergeCell ref="A74:B74"/>
    <mergeCell ref="E75:F75"/>
    <mergeCell ref="A76:B76"/>
    <mergeCell ref="A77:B77"/>
    <mergeCell ref="A79:B79"/>
    <mergeCell ref="A80:B80"/>
    <mergeCell ref="E80:F80"/>
    <mergeCell ref="A100:B100"/>
    <mergeCell ref="E100:F100"/>
    <mergeCell ref="A101:B101"/>
    <mergeCell ref="A102:B102"/>
    <mergeCell ref="A103:B103"/>
    <mergeCell ref="A104:B104"/>
    <mergeCell ref="E96:F96"/>
    <mergeCell ref="A97:B97"/>
    <mergeCell ref="E97:F97"/>
    <mergeCell ref="A98:B98"/>
    <mergeCell ref="E98:F98"/>
    <mergeCell ref="A99:B99"/>
    <mergeCell ref="E99:F99"/>
    <mergeCell ref="E109:F109"/>
    <mergeCell ref="A110:B110"/>
    <mergeCell ref="E110:F110"/>
    <mergeCell ref="A111:B111"/>
    <mergeCell ref="E111:F111"/>
    <mergeCell ref="E112:F112"/>
    <mergeCell ref="E105:F105"/>
    <mergeCell ref="A106:B106"/>
    <mergeCell ref="E106:F106"/>
    <mergeCell ref="A107:B107"/>
    <mergeCell ref="A108:B108"/>
    <mergeCell ref="E108:F108"/>
    <mergeCell ref="A119:B119"/>
    <mergeCell ref="A120:B120"/>
    <mergeCell ref="A122:B122"/>
    <mergeCell ref="A123:B123"/>
    <mergeCell ref="E123:F123"/>
    <mergeCell ref="A113:B113"/>
    <mergeCell ref="A114:B114"/>
    <mergeCell ref="A115:B115"/>
    <mergeCell ref="A116:B116"/>
    <mergeCell ref="A117:B117"/>
    <mergeCell ref="E118:F118"/>
  </mergeCells>
  <hyperlinks>
    <hyperlink ref="E3" r:id="rId1" xr:uid="{5534D057-E834-41B7-B5D3-3E15F9F9E42B}"/>
    <hyperlink ref="E49" r:id="rId2" xr:uid="{ED448F2F-52FA-49B3-B460-5368E924983F}"/>
    <hyperlink ref="E92" r:id="rId3" xr:uid="{325BD4E7-08B3-4A1F-BAB8-396E779522BA}"/>
    <hyperlink ref="D1" r:id="rId4" xr:uid="{155197E1-09F5-4256-ADCC-EA428A3AF153}"/>
    <hyperlink ref="D47" r:id="rId5" xr:uid="{B88B39D0-82F7-4261-B82A-654BBBCBB2F5}"/>
    <hyperlink ref="D90" r:id="rId6" xr:uid="{8FC9FD9C-2791-4401-ABD6-D9719A0BE334}"/>
  </hyperlinks>
  <pageMargins left="0.7" right="0.7" top="0.75" bottom="0.75" header="0.3" footer="0.3"/>
  <pageSetup orientation="portrait" r:id="rId7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DA47172-D6E7-4207-A137-75D0FE0594EF}">
          <x14:formula1>
            <xm:f>'Meat - 50021'!$C$2:$C$96</xm:f>
          </x14:formula1>
          <xm:sqref>A18:B19</xm:sqref>
        </x14:dataValidation>
        <x14:dataValidation type="list" allowBlank="1" showInputMessage="1" showErrorMessage="1" xr:uid="{088AF565-03E9-45BB-B0EC-3CAFD3C8FF01}">
          <x14:formula1>
            <xm:f>'Bakery - 50041'!$C$2:$C$400</xm:f>
          </x14:formula1>
          <xm:sqref>A30:B31 A76:B77 A119:B120</xm:sqref>
        </x14:dataValidation>
        <x14:dataValidation type="list" allowBlank="1" showInputMessage="1" showErrorMessage="1" errorTitle="Item" xr:uid="{D47BD1C6-4C81-477E-9CC1-4E5B9E6C121B}">
          <x14:formula1>
            <xm:f>'Storeroom - 50011'!$C$2:$C$309</xm:f>
          </x14:formula1>
          <xm:sqref>A8:B15</xm:sqref>
        </x14:dataValidation>
        <x14:dataValidation type="list" allowBlank="1" showInputMessage="1" showErrorMessage="1" xr:uid="{FB93F598-0399-4144-8033-FA4BBFF723B6}">
          <x14:formula1>
            <xm:f>'Meat - 50021'!$C$2:$C$110</xm:f>
          </x14:formula1>
          <xm:sqref>A17:B17</xm:sqref>
        </x14:dataValidation>
        <x14:dataValidation type="list" allowBlank="1" showInputMessage="1" showErrorMessage="1" xr:uid="{0AFFAE10-4AE9-4AB6-A611-31CDBEE24318}">
          <x14:formula1>
            <xm:f>'Dairy - 50031'!$C$2:$C$100</xm:f>
          </x14:formula1>
          <xm:sqref>A21:B22</xm:sqref>
        </x14:dataValidation>
        <x14:dataValidation type="list" allowBlank="1" showInputMessage="1" showErrorMessage="1" xr:uid="{34681EB7-3B7E-4AA3-8980-C276C4ACB7FB}">
          <x14:formula1>
            <xm:f>'Produce - 50051'!$C$2:$C$400</xm:f>
          </x14:formula1>
          <xm:sqref>A24:B28 A70:B74 A113:B117</xm:sqref>
        </x14:dataValidation>
        <x14:dataValidation type="list" allowBlank="1" showInputMessage="1" showErrorMessage="1" xr:uid="{CB5157E9-1F75-40DF-B998-FD5DC484574B}">
          <x14:formula1>
            <xm:f>'Frozen - 50061'!$C$2:$C$400</xm:f>
          </x14:formula1>
          <xm:sqref>A33:B34 A79:B80 A122:B123</xm:sqref>
        </x14:dataValidation>
        <x14:dataValidation type="list" allowBlank="1" showInputMessage="1" showErrorMessage="1" errorTitle="Item" xr:uid="{B2AE0A3D-B9B7-4E0C-9BAE-C4A323525DCF}">
          <x14:formula1>
            <xm:f>'Storeroom - 50011'!$C$2:$C$400</xm:f>
          </x14:formula1>
          <xm:sqref>A54:B61 A97:B104</xm:sqref>
        </x14:dataValidation>
        <x14:dataValidation type="list" allowBlank="1" showInputMessage="1" showErrorMessage="1" xr:uid="{AF90769C-AFCF-400E-9872-0EE40A2897BE}">
          <x14:formula1>
            <xm:f>'Meat - 50021'!$C$2:$C$400</xm:f>
          </x14:formula1>
          <xm:sqref>A63:B65 A106:B108</xm:sqref>
        </x14:dataValidation>
        <x14:dataValidation type="list" allowBlank="1" showInputMessage="1" showErrorMessage="1" xr:uid="{F5F6918A-1AB7-4A20-9AFA-3D2F5FA96E02}">
          <x14:formula1>
            <xm:f>'Dairy - 50031'!$C$2:$C$400</xm:f>
          </x14:formula1>
          <xm:sqref>A67:B68 A110:B111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7A46-529B-4CCC-8323-3647E82F6007}">
  <sheetPr codeName="Sheet6"/>
  <dimension ref="A1:J128"/>
  <sheetViews>
    <sheetView workbookViewId="0">
      <selection activeCell="E5" sqref="E5:H5"/>
    </sheetView>
  </sheetViews>
  <sheetFormatPr defaultColWidth="8.7265625" defaultRowHeight="14.5" x14ac:dyDescent="0.35"/>
  <cols>
    <col min="1" max="1" width="18.1796875" style="54" customWidth="1"/>
    <col min="2" max="2" width="16.453125" style="54" customWidth="1"/>
    <col min="3" max="3" width="13.453125" style="54" customWidth="1"/>
    <col min="4" max="4" width="12.453125" style="54" customWidth="1"/>
    <col min="5" max="5" width="6" style="54" customWidth="1"/>
    <col min="6" max="6" width="1.26953125" style="54" customWidth="1"/>
    <col min="7" max="7" width="8.7265625" style="54"/>
    <col min="8" max="8" width="12" style="54" customWidth="1"/>
    <col min="9" max="9" width="8.7265625" style="54"/>
    <col min="10" max="10" width="13.26953125" style="54" customWidth="1"/>
    <col min="11" max="16384" width="8.7265625" style="54"/>
  </cols>
  <sheetData>
    <row r="1" spans="1:10" ht="25.5" customHeight="1" thickBot="1" x14ac:dyDescent="0.4">
      <c r="A1" s="159" t="s">
        <v>7</v>
      </c>
      <c r="B1" s="159"/>
      <c r="C1" s="159"/>
      <c r="D1" s="160" t="s">
        <v>8</v>
      </c>
      <c r="E1" s="160"/>
      <c r="F1" s="160"/>
      <c r="G1" s="160"/>
      <c r="H1" s="160"/>
    </row>
    <row r="2" spans="1:10" ht="15.5" x14ac:dyDescent="0.35">
      <c r="A2" s="4" t="s">
        <v>9</v>
      </c>
      <c r="B2" s="5" t="s">
        <v>3</v>
      </c>
      <c r="C2" s="3"/>
      <c r="D2" s="3"/>
      <c r="E2" s="95" t="s">
        <v>10</v>
      </c>
      <c r="F2" s="96"/>
      <c r="G2" s="96"/>
      <c r="H2" s="97"/>
    </row>
    <row r="3" spans="1:10" ht="16" thickBot="1" x14ac:dyDescent="0.4">
      <c r="A3" s="6" t="s">
        <v>11</v>
      </c>
      <c r="B3" s="5"/>
      <c r="C3" s="4" t="s">
        <v>12</v>
      </c>
      <c r="D3" s="7">
        <v>1</v>
      </c>
      <c r="E3" s="146" t="s">
        <v>13</v>
      </c>
      <c r="F3" s="147"/>
      <c r="G3" s="147"/>
      <c r="H3" s="148"/>
      <c r="I3" s="3"/>
    </row>
    <row r="4" spans="1:10" ht="15.5" x14ac:dyDescent="0.35">
      <c r="A4" s="4" t="s">
        <v>14</v>
      </c>
      <c r="B4" s="34"/>
      <c r="C4" s="4" t="s">
        <v>15</v>
      </c>
      <c r="D4" s="7">
        <v>1</v>
      </c>
      <c r="E4" s="5" t="s">
        <v>2</v>
      </c>
      <c r="H4" s="3"/>
      <c r="I4" s="3"/>
      <c r="J4" s="3"/>
    </row>
    <row r="5" spans="1:10" ht="15.5" x14ac:dyDescent="0.35">
      <c r="A5" s="149" t="s">
        <v>16</v>
      </c>
      <c r="B5" s="150"/>
      <c r="C5" s="153" t="s">
        <v>17</v>
      </c>
      <c r="D5" s="154"/>
      <c r="E5" s="140" t="s">
        <v>18</v>
      </c>
      <c r="F5" s="141"/>
      <c r="G5" s="141"/>
      <c r="H5" s="142"/>
      <c r="I5" s="3"/>
      <c r="J5" s="3"/>
    </row>
    <row r="6" spans="1:10" ht="15.5" x14ac:dyDescent="0.35">
      <c r="A6" s="151"/>
      <c r="B6" s="152"/>
      <c r="C6" s="8" t="s">
        <v>19</v>
      </c>
      <c r="D6" s="8" t="s">
        <v>20</v>
      </c>
      <c r="E6" s="155"/>
      <c r="F6" s="156"/>
      <c r="G6" s="92" t="s">
        <v>21</v>
      </c>
      <c r="H6" s="93" t="s">
        <v>22</v>
      </c>
      <c r="I6" s="32"/>
      <c r="J6" s="32"/>
    </row>
    <row r="7" spans="1:10" ht="15.5" x14ac:dyDescent="0.35">
      <c r="A7" s="157" t="s">
        <v>23</v>
      </c>
      <c r="B7" s="158"/>
      <c r="C7" s="14"/>
      <c r="D7" s="15"/>
      <c r="E7" s="128">
        <f>(H7+H96+H53)/H35</f>
        <v>5.2150368636198839E-2</v>
      </c>
      <c r="F7" s="129"/>
      <c r="G7" s="17" t="s">
        <v>24</v>
      </c>
      <c r="H7" s="22">
        <f>SUM(H8:H15)</f>
        <v>0</v>
      </c>
      <c r="I7" s="33"/>
      <c r="J7" s="33"/>
    </row>
    <row r="8" spans="1:10" ht="15.5" x14ac:dyDescent="0.35">
      <c r="A8" s="118"/>
      <c r="B8" s="145"/>
      <c r="C8" s="19"/>
      <c r="D8" s="9" t="s">
        <v>25</v>
      </c>
      <c r="E8" s="126"/>
      <c r="F8" s="127"/>
      <c r="G8" s="21" t="e">
        <f>VLOOKUP(A8,'Storeroom - 50011'!$C$2:$J$400, 8, FALSE)</f>
        <v>#N/A</v>
      </c>
      <c r="H8" s="10"/>
      <c r="I8" s="33"/>
      <c r="J8" s="33"/>
    </row>
    <row r="9" spans="1:10" ht="15.5" x14ac:dyDescent="0.35">
      <c r="A9" s="118"/>
      <c r="B9" s="145"/>
      <c r="C9" s="19"/>
      <c r="D9" s="9" t="s">
        <v>25</v>
      </c>
      <c r="E9" s="126"/>
      <c r="F9" s="127"/>
      <c r="G9" s="21" t="e">
        <f>VLOOKUP(A9,'Storeroom - 50011'!$C$2:$J$400, 8, FALSE)</f>
        <v>#N/A</v>
      </c>
      <c r="H9" s="10"/>
      <c r="I9" s="33"/>
      <c r="J9" s="33"/>
    </row>
    <row r="10" spans="1:10" ht="15.5" x14ac:dyDescent="0.35">
      <c r="A10" s="118"/>
      <c r="B10" s="145"/>
      <c r="C10" s="19"/>
      <c r="D10" s="9" t="s">
        <v>25</v>
      </c>
      <c r="E10" s="126"/>
      <c r="F10" s="127"/>
      <c r="G10" s="21" t="e">
        <f>VLOOKUP(A10,'Storeroom - 50011'!$C$2:$J$400, 8, FALSE)</f>
        <v>#N/A</v>
      </c>
      <c r="H10" s="10"/>
      <c r="I10" s="33"/>
      <c r="J10" s="33"/>
    </row>
    <row r="11" spans="1:10" ht="15.5" x14ac:dyDescent="0.35">
      <c r="A11" s="118"/>
      <c r="B11" s="145"/>
      <c r="C11" s="19"/>
      <c r="D11" s="9" t="s">
        <v>25</v>
      </c>
      <c r="E11" s="126"/>
      <c r="F11" s="127"/>
      <c r="G11" s="21" t="e">
        <f>VLOOKUP(A11,'Storeroom - 50011'!$C$2:$J$400, 8, FALSE)</f>
        <v>#N/A</v>
      </c>
      <c r="H11" s="10"/>
      <c r="I11" s="33"/>
      <c r="J11" s="33"/>
    </row>
    <row r="12" spans="1:10" ht="15.5" x14ac:dyDescent="0.35">
      <c r="A12" s="118"/>
      <c r="B12" s="145"/>
      <c r="C12" s="19"/>
      <c r="D12" s="9" t="s">
        <v>25</v>
      </c>
      <c r="E12" s="108"/>
      <c r="F12" s="109"/>
      <c r="G12" s="21" t="e">
        <f>VLOOKUP(A12,'Storeroom - 50011'!$C$2:$J$400, 8, FALSE)</f>
        <v>#N/A</v>
      </c>
      <c r="H12" s="10"/>
      <c r="I12" s="33"/>
      <c r="J12" s="33"/>
    </row>
    <row r="13" spans="1:10" ht="15.5" x14ac:dyDescent="0.35">
      <c r="A13" s="118"/>
      <c r="B13" s="145"/>
      <c r="C13" s="19"/>
      <c r="D13" s="9" t="s">
        <v>25</v>
      </c>
      <c r="E13" s="108"/>
      <c r="F13" s="109"/>
      <c r="G13" s="21" t="e">
        <f>VLOOKUP(A13,'Storeroom - 50011'!$C$2:$J$400, 8, FALSE)</f>
        <v>#N/A</v>
      </c>
      <c r="H13" s="10"/>
      <c r="I13" s="33"/>
      <c r="J13" s="33"/>
    </row>
    <row r="14" spans="1:10" ht="15.5" x14ac:dyDescent="0.35">
      <c r="A14" s="118"/>
      <c r="B14" s="145"/>
      <c r="C14" s="19"/>
      <c r="D14" s="9" t="s">
        <v>25</v>
      </c>
      <c r="E14" s="108"/>
      <c r="F14" s="109"/>
      <c r="G14" s="21" t="e">
        <f>VLOOKUP(A14,'Storeroom - 50011'!$C$2:$J$400, 8, FALSE)</f>
        <v>#N/A</v>
      </c>
      <c r="H14" s="10"/>
      <c r="I14" s="33"/>
      <c r="J14" s="33"/>
    </row>
    <row r="15" spans="1:10" ht="15.5" x14ac:dyDescent="0.35">
      <c r="A15" s="118"/>
      <c r="B15" s="145"/>
      <c r="C15" s="19"/>
      <c r="D15" s="9" t="s">
        <v>25</v>
      </c>
      <c r="E15" s="108"/>
      <c r="F15" s="109"/>
      <c r="G15" s="21" t="e">
        <f>VLOOKUP(A15,'Storeroom - 50011'!$C$2:$J$400, 8, FALSE)</f>
        <v>#N/A</v>
      </c>
      <c r="H15" s="10"/>
      <c r="I15" s="33"/>
      <c r="J15" s="33"/>
    </row>
    <row r="16" spans="1:10" ht="15.5" x14ac:dyDescent="0.35">
      <c r="A16" s="143" t="s">
        <v>26</v>
      </c>
      <c r="B16" s="144"/>
      <c r="C16" s="16"/>
      <c r="D16" s="15"/>
      <c r="E16" s="124">
        <f>(H16+H62+H105)/H35</f>
        <v>0.59343294810151059</v>
      </c>
      <c r="F16" s="125"/>
      <c r="G16" s="27" t="s">
        <v>24</v>
      </c>
      <c r="H16" s="22">
        <f>SUM(H17:H19)</f>
        <v>2.3588055555555556</v>
      </c>
      <c r="I16" s="33"/>
      <c r="J16" s="33"/>
    </row>
    <row r="17" spans="1:10" ht="15.5" x14ac:dyDescent="0.35">
      <c r="A17" s="118" t="s">
        <v>58</v>
      </c>
      <c r="B17" s="119"/>
      <c r="C17" s="13">
        <v>3</v>
      </c>
      <c r="D17" s="9" t="s">
        <v>25</v>
      </c>
      <c r="E17" s="126"/>
      <c r="F17" s="127"/>
      <c r="G17" s="21">
        <f>VLOOKUP(A17,'Meat - 50021'!$C$2:$L$400, 10, FALSE)</f>
        <v>0.63650000000000007</v>
      </c>
      <c r="H17" s="10">
        <f>G17*C17</f>
        <v>1.9095000000000002</v>
      </c>
      <c r="I17" s="33"/>
      <c r="J17" s="33"/>
    </row>
    <row r="18" spans="1:10" ht="15.5" x14ac:dyDescent="0.35">
      <c r="A18" s="118" t="s">
        <v>59</v>
      </c>
      <c r="B18" s="119"/>
      <c r="C18" s="13">
        <v>1</v>
      </c>
      <c r="D18" s="9" t="s">
        <v>25</v>
      </c>
      <c r="E18" s="108"/>
      <c r="F18" s="109"/>
      <c r="G18" s="21">
        <f>VLOOKUP(A18,'Meat - 50021'!$C$2:$L$400, 10, FALSE)</f>
        <v>0.44930555555555551</v>
      </c>
      <c r="H18" s="10">
        <f>G18*C18</f>
        <v>0.44930555555555551</v>
      </c>
      <c r="I18" s="33"/>
      <c r="J18" s="33"/>
    </row>
    <row r="19" spans="1:10" ht="15.5" x14ac:dyDescent="0.35">
      <c r="A19" s="118"/>
      <c r="B19" s="145"/>
      <c r="C19" s="13"/>
      <c r="D19" s="9" t="s">
        <v>25</v>
      </c>
      <c r="E19" s="126"/>
      <c r="F19" s="127"/>
      <c r="G19" s="21" t="e">
        <f>VLOOKUP(A19,'Meat - 50021'!$C$2:$L$400, 10, FALSE)</f>
        <v>#N/A</v>
      </c>
      <c r="H19" s="10"/>
      <c r="I19" s="33"/>
      <c r="J19" s="33"/>
    </row>
    <row r="20" spans="1:10" ht="15.5" x14ac:dyDescent="0.35">
      <c r="A20" s="143" t="s">
        <v>27</v>
      </c>
      <c r="B20" s="144"/>
      <c r="C20" s="16"/>
      <c r="D20" s="15"/>
      <c r="E20" s="124">
        <f>(H20+H66+H109)/H35</f>
        <v>0.17905560508659504</v>
      </c>
      <c r="F20" s="125"/>
      <c r="G20" s="27" t="s">
        <v>24</v>
      </c>
      <c r="H20" s="22">
        <f>SUM(H21:H22)</f>
        <v>0.71171874999999996</v>
      </c>
      <c r="I20" s="33"/>
      <c r="J20" s="33"/>
    </row>
    <row r="21" spans="1:10" ht="15.5" x14ac:dyDescent="0.35">
      <c r="A21" s="118" t="s">
        <v>60</v>
      </c>
      <c r="B21" s="145"/>
      <c r="C21" s="13">
        <v>1</v>
      </c>
      <c r="D21" s="9" t="s">
        <v>25</v>
      </c>
      <c r="E21" s="126"/>
      <c r="F21" s="127"/>
      <c r="G21" s="21">
        <f>VLOOKUP(A21,'Dairy - 50031'!$C$2:$J$400,8, FALSE)</f>
        <v>0.44984374999999999</v>
      </c>
      <c r="H21" s="10">
        <f>G21*C21</f>
        <v>0.44984374999999999</v>
      </c>
      <c r="I21" s="33"/>
      <c r="J21" s="33"/>
    </row>
    <row r="22" spans="1:10" ht="15.5" x14ac:dyDescent="0.35">
      <c r="A22" s="118" t="s">
        <v>61</v>
      </c>
      <c r="B22" s="145"/>
      <c r="C22" s="13">
        <v>1</v>
      </c>
      <c r="D22" s="9" t="s">
        <v>25</v>
      </c>
      <c r="E22" s="126"/>
      <c r="F22" s="127"/>
      <c r="G22" s="21">
        <f>VLOOKUP(A22,'Dairy - 50031'!$C$2:$J$400,8, FALSE)</f>
        <v>0.26187500000000002</v>
      </c>
      <c r="H22" s="10">
        <f>G22*C22</f>
        <v>0.26187500000000002</v>
      </c>
      <c r="I22" s="33"/>
      <c r="J22" s="33"/>
    </row>
    <row r="23" spans="1:10" ht="15.5" x14ac:dyDescent="0.35">
      <c r="A23" s="143" t="s">
        <v>30</v>
      </c>
      <c r="B23" s="144"/>
      <c r="C23" s="16"/>
      <c r="D23" s="15"/>
      <c r="E23" s="124">
        <f>(H23+H69+H112)/H35</f>
        <v>4.8731486696964879E-2</v>
      </c>
      <c r="F23" s="125"/>
      <c r="G23" s="27" t="s">
        <v>24</v>
      </c>
      <c r="H23" s="22">
        <f>SUM(H24:H28)</f>
        <v>0.10613952020202019</v>
      </c>
      <c r="I23" s="33"/>
      <c r="J23" s="33"/>
    </row>
    <row r="24" spans="1:10" ht="15.5" x14ac:dyDescent="0.35">
      <c r="A24" s="118" t="s">
        <v>62</v>
      </c>
      <c r="B24" s="119"/>
      <c r="C24" s="13">
        <v>0.5</v>
      </c>
      <c r="D24" s="9" t="s">
        <v>25</v>
      </c>
      <c r="E24" s="108"/>
      <c r="F24" s="109"/>
      <c r="G24" s="21">
        <f>VLOOKUP(A24,'Produce - 50051'!$C$2:$L$400, 10, FALSE)</f>
        <v>0.21227904040404039</v>
      </c>
      <c r="H24" s="10">
        <f t="shared" ref="H24" si="0">C24*G24</f>
        <v>0.10613952020202019</v>
      </c>
      <c r="I24" s="33"/>
      <c r="J24" s="33"/>
    </row>
    <row r="25" spans="1:10" ht="15.5" x14ac:dyDescent="0.35">
      <c r="A25" s="118"/>
      <c r="B25" s="119"/>
      <c r="C25" s="13"/>
      <c r="D25" s="9" t="s">
        <v>29</v>
      </c>
      <c r="E25" s="108"/>
      <c r="F25" s="109"/>
      <c r="G25" s="21" t="e">
        <f>VLOOKUP(A25,'Produce - 50051'!$C$2:$L$400, 10, FALSE)</f>
        <v>#N/A</v>
      </c>
      <c r="H25" s="10"/>
      <c r="I25" s="33"/>
      <c r="J25" s="33"/>
    </row>
    <row r="26" spans="1:10" ht="15.5" x14ac:dyDescent="0.35">
      <c r="A26" s="118"/>
      <c r="B26" s="119"/>
      <c r="C26" s="13"/>
      <c r="D26" s="9" t="s">
        <v>25</v>
      </c>
      <c r="E26" s="108"/>
      <c r="F26" s="109"/>
      <c r="G26" s="21" t="e">
        <f>VLOOKUP(A26,'Produce - 50051'!$C$2:$L$400, 10, FALSE)</f>
        <v>#N/A</v>
      </c>
      <c r="H26" s="10"/>
      <c r="I26" s="33"/>
      <c r="J26" s="33"/>
    </row>
    <row r="27" spans="1:10" ht="15.5" x14ac:dyDescent="0.35">
      <c r="A27" s="118"/>
      <c r="B27" s="119"/>
      <c r="C27" s="13"/>
      <c r="D27" s="9" t="s">
        <v>25</v>
      </c>
      <c r="E27" s="108"/>
      <c r="F27" s="109"/>
      <c r="G27" s="21" t="e">
        <f>VLOOKUP(A27,'Produce - 50051'!$C$2:$L$400, 10, FALSE)</f>
        <v>#N/A</v>
      </c>
      <c r="H27" s="10"/>
      <c r="I27" s="33"/>
      <c r="J27" s="33"/>
    </row>
    <row r="28" spans="1:10" ht="15.5" x14ac:dyDescent="0.35">
      <c r="A28" s="118"/>
      <c r="B28" s="119"/>
      <c r="C28" s="13"/>
      <c r="D28" s="9" t="s">
        <v>25</v>
      </c>
      <c r="E28" s="108"/>
      <c r="F28" s="109"/>
      <c r="G28" s="21" t="e">
        <f>VLOOKUP(A28,'Produce - 50051'!$C$2:$L$400, 10, FALSE)</f>
        <v>#N/A</v>
      </c>
      <c r="H28" s="10"/>
      <c r="I28" s="33"/>
      <c r="J28" s="33"/>
    </row>
    <row r="29" spans="1:10" ht="15.5" x14ac:dyDescent="0.35">
      <c r="A29" s="114" t="s">
        <v>34</v>
      </c>
      <c r="B29" s="115"/>
      <c r="C29" s="16"/>
      <c r="D29" s="15"/>
      <c r="E29" s="122">
        <f>(H29+H75+H118)/H35</f>
        <v>0.12662959147873065</v>
      </c>
      <c r="F29" s="123"/>
      <c r="G29" s="27" t="s">
        <v>24</v>
      </c>
      <c r="H29" s="22">
        <f>SUM(H30:H34)</f>
        <v>0.5033333333333333</v>
      </c>
      <c r="I29" s="33"/>
      <c r="J29" s="33"/>
    </row>
    <row r="30" spans="1:10" ht="15.5" x14ac:dyDescent="0.35">
      <c r="A30" s="118" t="s">
        <v>63</v>
      </c>
      <c r="B30" s="119"/>
      <c r="C30" s="13">
        <v>1</v>
      </c>
      <c r="D30" s="9" t="s">
        <v>29</v>
      </c>
      <c r="E30" s="108"/>
      <c r="F30" s="109"/>
      <c r="G30" s="21">
        <f>VLOOKUP(A30,'Bakery - 50041'!$C$2:$J$400, 8, FALSE)</f>
        <v>0.5033333333333333</v>
      </c>
      <c r="H30" s="10">
        <f>G30*C30</f>
        <v>0.5033333333333333</v>
      </c>
      <c r="I30" s="33"/>
      <c r="J30" s="33"/>
    </row>
    <row r="31" spans="1:10" ht="15.5" x14ac:dyDescent="0.35">
      <c r="A31" s="118"/>
      <c r="B31" s="119"/>
      <c r="C31" s="13"/>
      <c r="D31" s="9" t="s">
        <v>25</v>
      </c>
      <c r="E31" s="108"/>
      <c r="F31" s="109"/>
      <c r="G31" s="21" t="e">
        <f>VLOOKUP(A31,'Bakery - 50041'!$C$2:$J$400, 8, FALSE)</f>
        <v>#N/A</v>
      </c>
      <c r="H31" s="10"/>
      <c r="I31" s="33"/>
      <c r="J31" s="33"/>
    </row>
    <row r="32" spans="1:10" ht="15.5" x14ac:dyDescent="0.35">
      <c r="A32" s="114" t="s">
        <v>35</v>
      </c>
      <c r="B32" s="115"/>
      <c r="C32" s="16"/>
      <c r="D32" s="15"/>
      <c r="E32" s="116">
        <f>(H32+H78+H121)/H35</f>
        <v>0</v>
      </c>
      <c r="F32" s="18"/>
      <c r="G32" s="27" t="s">
        <v>24</v>
      </c>
      <c r="H32" s="22">
        <f>SUM(H33:H34)</f>
        <v>0</v>
      </c>
      <c r="I32" s="33"/>
      <c r="J32" s="33"/>
    </row>
    <row r="33" spans="1:10" ht="15.5" x14ac:dyDescent="0.35">
      <c r="A33" s="118"/>
      <c r="B33" s="119"/>
      <c r="C33" s="13"/>
      <c r="D33" s="9" t="s">
        <v>25</v>
      </c>
      <c r="E33" s="108"/>
      <c r="F33" s="109"/>
      <c r="G33" s="21" t="e">
        <f>VLOOKUP(A33,'Frozen - 50061'!$C$2:$J$400, 8, FALSE)</f>
        <v>#N/A</v>
      </c>
      <c r="H33" s="10"/>
      <c r="I33" s="33"/>
      <c r="J33" s="33"/>
    </row>
    <row r="34" spans="1:10" ht="15.5" x14ac:dyDescent="0.35">
      <c r="A34" s="118"/>
      <c r="B34" s="119"/>
      <c r="C34" s="36"/>
      <c r="D34" s="37" t="s">
        <v>25</v>
      </c>
      <c r="E34" s="120"/>
      <c r="F34" s="121"/>
      <c r="G34" s="21" t="e">
        <f>VLOOKUP(A34,'Frozen - 50061'!$C$2:$J$400, 8, FALSE)</f>
        <v>#N/A</v>
      </c>
      <c r="H34" s="10"/>
      <c r="I34" s="33"/>
      <c r="J34" s="33"/>
    </row>
    <row r="35" spans="1:10" ht="16" thickBot="1" x14ac:dyDescent="0.4">
      <c r="A35" s="30" t="str">
        <f>A7</f>
        <v>Storeroom PL ()</v>
      </c>
      <c r="B35" s="40">
        <f>E7</f>
        <v>5.2150368636198839E-2</v>
      </c>
      <c r="C35" s="31"/>
      <c r="D35" s="31"/>
      <c r="E35" s="31"/>
      <c r="F35" s="4" t="s">
        <v>37</v>
      </c>
      <c r="G35" s="4"/>
      <c r="H35" s="35">
        <f>H32+H29+H23+H20+H16+H7+H81+H124</f>
        <v>3.9748476438690532</v>
      </c>
    </row>
    <row r="36" spans="1:10" ht="16" thickBot="1" x14ac:dyDescent="0.4">
      <c r="A36" s="38" t="str">
        <f>A16</f>
        <v>Meat PL ()</v>
      </c>
      <c r="B36" s="41">
        <f>E16</f>
        <v>0.59343294810151059</v>
      </c>
      <c r="C36" s="29"/>
      <c r="D36" s="29"/>
      <c r="E36" s="29"/>
      <c r="F36" s="4" t="s">
        <v>38</v>
      </c>
      <c r="G36" s="4"/>
      <c r="H36" s="12">
        <v>5</v>
      </c>
    </row>
    <row r="37" spans="1:10" ht="16" thickBot="1" x14ac:dyDescent="0.4">
      <c r="A37" s="39" t="str">
        <f>A20</f>
        <v>Dairy PL ()</v>
      </c>
      <c r="B37" s="42">
        <f>E20</f>
        <v>0.17905560508659504</v>
      </c>
      <c r="C37" s="29"/>
      <c r="D37" s="29"/>
      <c r="E37" s="29"/>
      <c r="F37" s="4" t="s">
        <v>39</v>
      </c>
      <c r="G37" s="4"/>
      <c r="H37" s="11">
        <f>H35/D3</f>
        <v>3.9748476438690532</v>
      </c>
    </row>
    <row r="38" spans="1:10" ht="16" thickBot="1" x14ac:dyDescent="0.4">
      <c r="A38" s="39" t="str">
        <f>A23</f>
        <v>Produce PL ()</v>
      </c>
      <c r="B38" s="42">
        <f>E23</f>
        <v>4.8731486696964879E-2</v>
      </c>
      <c r="C38" s="29"/>
      <c r="D38" s="29"/>
      <c r="E38" s="29"/>
      <c r="F38" s="23" t="s">
        <v>40</v>
      </c>
      <c r="H38" s="25">
        <f>H36-H37</f>
        <v>1.0251523561309468</v>
      </c>
    </row>
    <row r="39" spans="1:10" ht="16" thickBot="1" x14ac:dyDescent="0.4">
      <c r="A39" s="39" t="str">
        <f>A29</f>
        <v>Bakery PL ()</v>
      </c>
      <c r="B39" s="42">
        <f>E29</f>
        <v>0.12662959147873065</v>
      </c>
      <c r="C39" s="29"/>
      <c r="D39" s="29"/>
      <c r="E39" s="29"/>
      <c r="F39" s="24" t="s">
        <v>41</v>
      </c>
      <c r="H39" s="26">
        <f>H38/H36</f>
        <v>0.20503047122618936</v>
      </c>
    </row>
    <row r="40" spans="1:10" ht="16" thickBot="1" x14ac:dyDescent="0.4">
      <c r="A40" s="39" t="str">
        <f>A32</f>
        <v>Frozen PL ()</v>
      </c>
      <c r="B40" s="42">
        <f>E32</f>
        <v>0</v>
      </c>
      <c r="C40" s="29"/>
      <c r="D40" s="29"/>
      <c r="E40" s="29"/>
      <c r="F40" s="24" t="s">
        <v>42</v>
      </c>
      <c r="H40" s="26">
        <f>(H38/H37)</f>
        <v>0.25790984912646359</v>
      </c>
    </row>
    <row r="41" spans="1:10" ht="18.5" x14ac:dyDescent="0.35">
      <c r="A41" s="89" t="s">
        <v>24</v>
      </c>
      <c r="B41" s="90">
        <f>SUM(B35:B40)</f>
        <v>1</v>
      </c>
      <c r="C41" s="29"/>
      <c r="D41" s="29"/>
      <c r="E41" s="29"/>
      <c r="F41" s="29"/>
      <c r="G41" s="29"/>
      <c r="J41" s="20"/>
    </row>
    <row r="42" spans="1:10" x14ac:dyDescent="0.35">
      <c r="A42" s="29"/>
      <c r="B42" s="29"/>
      <c r="C42" s="29"/>
      <c r="D42" s="29"/>
      <c r="E42" s="29"/>
      <c r="F42" s="29"/>
      <c r="G42" s="29"/>
    </row>
    <row r="43" spans="1:10" x14ac:dyDescent="0.35">
      <c r="A43" s="130" t="s">
        <v>43</v>
      </c>
      <c r="B43" s="130"/>
      <c r="C43" s="130"/>
      <c r="D43" s="130"/>
      <c r="E43" s="130"/>
      <c r="F43" s="130"/>
      <c r="G43" s="130"/>
      <c r="H43" s="130"/>
    </row>
    <row r="44" spans="1:10" x14ac:dyDescent="0.35">
      <c r="A44" s="130"/>
      <c r="B44" s="130"/>
      <c r="C44" s="130"/>
      <c r="D44" s="130"/>
      <c r="E44" s="130"/>
      <c r="F44" s="130"/>
      <c r="G44" s="130"/>
      <c r="H44" s="130"/>
    </row>
    <row r="45" spans="1:10" x14ac:dyDescent="0.35">
      <c r="A45" s="130"/>
      <c r="B45" s="130"/>
      <c r="C45" s="130"/>
      <c r="D45" s="130"/>
      <c r="E45" s="130"/>
      <c r="F45" s="130"/>
      <c r="G45" s="130"/>
      <c r="H45" s="130"/>
    </row>
    <row r="46" spans="1:10" ht="15" thickBot="1" x14ac:dyDescent="0.4">
      <c r="A46" s="131"/>
      <c r="B46" s="131"/>
      <c r="C46" s="131"/>
      <c r="D46" s="131"/>
      <c r="E46" s="131"/>
      <c r="F46" s="131"/>
      <c r="G46" s="131"/>
      <c r="H46" s="131"/>
    </row>
    <row r="47" spans="1:10" ht="26.5" thickBot="1" x14ac:dyDescent="0.4">
      <c r="A47" s="132" t="s">
        <v>7</v>
      </c>
      <c r="B47" s="132"/>
      <c r="C47" s="132"/>
      <c r="D47" s="133" t="s">
        <v>8</v>
      </c>
      <c r="E47" s="133"/>
      <c r="F47" s="133"/>
      <c r="G47" s="133"/>
      <c r="H47" s="133"/>
    </row>
    <row r="48" spans="1:10" ht="15.5" x14ac:dyDescent="0.35">
      <c r="A48" s="4" t="s">
        <v>9</v>
      </c>
      <c r="B48" s="5"/>
      <c r="C48" s="3"/>
      <c r="D48" s="3"/>
      <c r="E48" s="95" t="s">
        <v>10</v>
      </c>
      <c r="F48" s="96"/>
      <c r="G48" s="96"/>
      <c r="H48" s="97"/>
    </row>
    <row r="49" spans="1:8" ht="16" thickBot="1" x14ac:dyDescent="0.4">
      <c r="A49" s="6" t="s">
        <v>11</v>
      </c>
      <c r="B49" s="5"/>
      <c r="C49" s="4" t="s">
        <v>12</v>
      </c>
      <c r="D49" s="7">
        <v>1</v>
      </c>
      <c r="E49" s="146" t="s">
        <v>13</v>
      </c>
      <c r="F49" s="147"/>
      <c r="G49" s="147"/>
      <c r="H49" s="148"/>
    </row>
    <row r="50" spans="1:8" ht="15.5" x14ac:dyDescent="0.35">
      <c r="A50" s="4" t="s">
        <v>14</v>
      </c>
      <c r="B50" s="34"/>
      <c r="C50" s="4" t="s">
        <v>15</v>
      </c>
      <c r="D50" s="7">
        <v>1</v>
      </c>
      <c r="E50" s="5" t="s">
        <v>45</v>
      </c>
      <c r="H50" s="3"/>
    </row>
    <row r="51" spans="1:8" ht="15.5" x14ac:dyDescent="0.35">
      <c r="A51" s="149" t="s">
        <v>16</v>
      </c>
      <c r="B51" s="150"/>
      <c r="C51" s="153" t="s">
        <v>17</v>
      </c>
      <c r="D51" s="154"/>
      <c r="E51" s="140" t="s">
        <v>18</v>
      </c>
      <c r="F51" s="141"/>
      <c r="G51" s="141"/>
      <c r="H51" s="142"/>
    </row>
    <row r="52" spans="1:8" ht="15.5" x14ac:dyDescent="0.35">
      <c r="A52" s="151"/>
      <c r="B52" s="152"/>
      <c r="C52" s="8" t="s">
        <v>19</v>
      </c>
      <c r="D52" s="8" t="s">
        <v>20</v>
      </c>
      <c r="E52" s="155"/>
      <c r="F52" s="156"/>
      <c r="G52" s="92" t="s">
        <v>21</v>
      </c>
      <c r="H52" s="93" t="s">
        <v>22</v>
      </c>
    </row>
    <row r="53" spans="1:8" ht="15.5" x14ac:dyDescent="0.35">
      <c r="A53" s="157" t="s">
        <v>23</v>
      </c>
      <c r="B53" s="158"/>
      <c r="C53" s="14"/>
      <c r="D53" s="15"/>
      <c r="E53" s="128">
        <f>H53/$H$81</f>
        <v>0.70303350546114762</v>
      </c>
      <c r="F53" s="129"/>
      <c r="G53" s="17" t="s">
        <v>24</v>
      </c>
      <c r="H53" s="22">
        <f>SUM(H54:H61)</f>
        <v>0.20728976990049752</v>
      </c>
    </row>
    <row r="54" spans="1:8" ht="15.5" x14ac:dyDescent="0.35">
      <c r="A54" s="118" t="s">
        <v>48</v>
      </c>
      <c r="B54" s="145"/>
      <c r="C54" s="19">
        <v>0.24</v>
      </c>
      <c r="D54" s="9" t="s">
        <v>25</v>
      </c>
      <c r="E54" s="126"/>
      <c r="F54" s="127"/>
      <c r="G54" s="21">
        <f>VLOOKUP(A54,'Storeroom - 50011'!$C$2:$J$400, 8, FALSE)</f>
        <v>8.9648437499999997E-2</v>
      </c>
      <c r="H54" s="10">
        <f>G54*C54</f>
        <v>2.1515625E-2</v>
      </c>
    </row>
    <row r="55" spans="1:8" ht="15.5" x14ac:dyDescent="0.35">
      <c r="A55" s="118" t="s">
        <v>64</v>
      </c>
      <c r="B55" s="145"/>
      <c r="C55" s="19">
        <v>0.8</v>
      </c>
      <c r="D55" s="9" t="s">
        <v>25</v>
      </c>
      <c r="E55" s="126"/>
      <c r="F55" s="127"/>
      <c r="G55" s="21">
        <f>VLOOKUP(A55,'Storeroom - 50011'!$C$2:$J$400, 8, FALSE)</f>
        <v>0.21432835820895521</v>
      </c>
      <c r="H55" s="10">
        <f t="shared" ref="H55:H57" si="1">G55*C55</f>
        <v>0.17146268656716418</v>
      </c>
    </row>
    <row r="56" spans="1:8" ht="15.5" x14ac:dyDescent="0.35">
      <c r="A56" s="118" t="s">
        <v>65</v>
      </c>
      <c r="B56" s="145"/>
      <c r="C56" s="19">
        <v>0.04</v>
      </c>
      <c r="D56" s="9" t="s">
        <v>25</v>
      </c>
      <c r="E56" s="126"/>
      <c r="F56" s="127"/>
      <c r="G56" s="21">
        <f>VLOOKUP(A56,'Storeroom - 50011'!$C$2:$J$400, 8, FALSE)</f>
        <v>0.19270833333333334</v>
      </c>
      <c r="H56" s="10">
        <f t="shared" si="1"/>
        <v>7.7083333333333335E-3</v>
      </c>
    </row>
    <row r="57" spans="1:8" ht="15.5" x14ac:dyDescent="0.35">
      <c r="A57" s="118" t="s">
        <v>66</v>
      </c>
      <c r="B57" s="145"/>
      <c r="C57" s="19">
        <v>0.08</v>
      </c>
      <c r="D57" s="9" t="s">
        <v>25</v>
      </c>
      <c r="E57" s="126"/>
      <c r="F57" s="127"/>
      <c r="G57" s="21">
        <f>VLOOKUP(A57,'Storeroom - 50011'!$C$2:$J$400, 8, FALSE)</f>
        <v>8.2539062499999996E-2</v>
      </c>
      <c r="H57" s="10">
        <f t="shared" si="1"/>
        <v>6.6031249999999996E-3</v>
      </c>
    </row>
    <row r="58" spans="1:8" ht="15.5" x14ac:dyDescent="0.35">
      <c r="A58" s="118"/>
      <c r="B58" s="145"/>
      <c r="C58" s="19"/>
      <c r="D58" s="9" t="s">
        <v>25</v>
      </c>
      <c r="E58" s="108"/>
      <c r="F58" s="109"/>
      <c r="G58" s="21" t="e">
        <f>VLOOKUP(A58,'Storeroom - 50011'!$C$2:$J$400, 8, FALSE)</f>
        <v>#N/A</v>
      </c>
      <c r="H58" s="10"/>
    </row>
    <row r="59" spans="1:8" ht="15.5" x14ac:dyDescent="0.35">
      <c r="A59" s="118"/>
      <c r="B59" s="145"/>
      <c r="C59" s="19"/>
      <c r="D59" s="9" t="s">
        <v>25</v>
      </c>
      <c r="E59" s="108"/>
      <c r="F59" s="109"/>
      <c r="G59" s="21" t="e">
        <f>VLOOKUP(A59,'Storeroom - 50011'!$C$2:$J$400, 8, FALSE)</f>
        <v>#N/A</v>
      </c>
      <c r="H59" s="10"/>
    </row>
    <row r="60" spans="1:8" ht="15.5" x14ac:dyDescent="0.35">
      <c r="A60" s="118"/>
      <c r="B60" s="145"/>
      <c r="C60" s="19"/>
      <c r="D60" s="9" t="s">
        <v>25</v>
      </c>
      <c r="E60" s="108"/>
      <c r="F60" s="109"/>
      <c r="G60" s="21" t="e">
        <f>VLOOKUP(A60,'Storeroom - 50011'!$C$2:$J$400, 8, FALSE)</f>
        <v>#N/A</v>
      </c>
      <c r="H60" s="10"/>
    </row>
    <row r="61" spans="1:8" ht="15.5" x14ac:dyDescent="0.35">
      <c r="A61" s="118"/>
      <c r="B61" s="145"/>
      <c r="C61" s="19"/>
      <c r="D61" s="9" t="s">
        <v>25</v>
      </c>
      <c r="E61" s="108"/>
      <c r="F61" s="109"/>
      <c r="G61" s="21" t="e">
        <f>VLOOKUP(A61,'Storeroom - 50011'!$C$2:$J$400, 8, FALSE)</f>
        <v>#N/A</v>
      </c>
      <c r="H61" s="10"/>
    </row>
    <row r="62" spans="1:8" ht="15.5" x14ac:dyDescent="0.35">
      <c r="A62" s="143" t="s">
        <v>26</v>
      </c>
      <c r="B62" s="144"/>
      <c r="C62" s="16"/>
      <c r="D62" s="15"/>
      <c r="E62" s="124">
        <f>H62/$H$81</f>
        <v>0</v>
      </c>
      <c r="F62" s="125"/>
      <c r="G62" s="27" t="s">
        <v>24</v>
      </c>
      <c r="H62" s="22">
        <f>SUM(H63:H65)</f>
        <v>0</v>
      </c>
    </row>
    <row r="63" spans="1:8" ht="15.5" x14ac:dyDescent="0.35">
      <c r="A63" s="118"/>
      <c r="B63" s="145"/>
      <c r="C63" s="13"/>
      <c r="D63" s="9" t="s">
        <v>25</v>
      </c>
      <c r="E63" s="126"/>
      <c r="F63" s="127"/>
      <c r="G63" s="21" t="e">
        <f>VLOOKUP(A63,'Meat - 50021'!$C$2:$L$400, 10, FALSE)</f>
        <v>#N/A</v>
      </c>
      <c r="H63" s="10"/>
    </row>
    <row r="64" spans="1:8" ht="15.5" x14ac:dyDescent="0.35">
      <c r="A64" s="118"/>
      <c r="B64" s="145"/>
      <c r="C64" s="13"/>
      <c r="D64" s="9" t="s">
        <v>25</v>
      </c>
      <c r="E64" s="108"/>
      <c r="F64" s="109"/>
      <c r="G64" s="21" t="e">
        <f>VLOOKUP(A64,'Meat - 50021'!$C$2:$L$400, 10, FALSE)</f>
        <v>#N/A</v>
      </c>
      <c r="H64" s="10"/>
    </row>
    <row r="65" spans="1:8" ht="15.5" x14ac:dyDescent="0.35">
      <c r="A65" s="118"/>
      <c r="B65" s="145"/>
      <c r="C65" s="13"/>
      <c r="D65" s="9" t="s">
        <v>25</v>
      </c>
      <c r="E65" s="126"/>
      <c r="F65" s="127"/>
      <c r="G65" s="21" t="e">
        <f>VLOOKUP(A65,'Meat - 50021'!$C$2:$L$400, 10, FALSE)</f>
        <v>#N/A</v>
      </c>
      <c r="H65" s="10"/>
    </row>
    <row r="66" spans="1:8" ht="15.5" x14ac:dyDescent="0.35">
      <c r="A66" s="143" t="s">
        <v>27</v>
      </c>
      <c r="B66" s="144"/>
      <c r="C66" s="16"/>
      <c r="D66" s="15"/>
      <c r="E66" s="124">
        <f>H66/$H$81</f>
        <v>0</v>
      </c>
      <c r="F66" s="125"/>
      <c r="G66" s="27" t="s">
        <v>24</v>
      </c>
      <c r="H66" s="22">
        <f>SUM(H67:H68)</f>
        <v>0</v>
      </c>
    </row>
    <row r="67" spans="1:8" ht="15.5" x14ac:dyDescent="0.35">
      <c r="A67" s="118"/>
      <c r="B67" s="145"/>
      <c r="C67" s="13"/>
      <c r="D67" s="9" t="s">
        <v>25</v>
      </c>
      <c r="E67" s="126"/>
      <c r="F67" s="127"/>
      <c r="G67" s="21" t="e">
        <f>VLOOKUP(A67,'Dairy - 50031'!$C$2:$J$400,8, FALSE)</f>
        <v>#N/A</v>
      </c>
      <c r="H67" s="10"/>
    </row>
    <row r="68" spans="1:8" ht="15.5" x14ac:dyDescent="0.35">
      <c r="A68" s="118"/>
      <c r="B68" s="145"/>
      <c r="C68" s="13"/>
      <c r="D68" s="9" t="s">
        <v>25</v>
      </c>
      <c r="E68" s="126"/>
      <c r="F68" s="127"/>
      <c r="G68" s="21" t="e">
        <f>VLOOKUP(A68,'Dairy - 50031'!$C$2:$J$400,8, FALSE)</f>
        <v>#N/A</v>
      </c>
      <c r="H68" s="10"/>
    </row>
    <row r="69" spans="1:8" ht="15.5" x14ac:dyDescent="0.35">
      <c r="A69" s="143" t="s">
        <v>30</v>
      </c>
      <c r="B69" s="144"/>
      <c r="C69" s="16"/>
      <c r="D69" s="15"/>
      <c r="E69" s="124">
        <f>H69/H81</f>
        <v>0.29696649453885243</v>
      </c>
      <c r="F69" s="125"/>
      <c r="G69" s="27" t="s">
        <v>24</v>
      </c>
      <c r="H69" s="22">
        <f>SUM(H70:H74)</f>
        <v>8.7560714877646773E-2</v>
      </c>
    </row>
    <row r="70" spans="1:8" ht="15.5" x14ac:dyDescent="0.35">
      <c r="A70" s="118" t="s">
        <v>56</v>
      </c>
      <c r="B70" s="119"/>
      <c r="C70" s="13">
        <v>0.125</v>
      </c>
      <c r="D70" s="9" t="s">
        <v>25</v>
      </c>
      <c r="E70" s="108"/>
      <c r="F70" s="109"/>
      <c r="G70" s="21">
        <f>VLOOKUP(A70,'Produce - 50051'!$C$2:$L$400, 10, FALSE)</f>
        <v>0.21652298850574714</v>
      </c>
      <c r="H70" s="10">
        <f>G70*C70</f>
        <v>2.7065373563218392E-2</v>
      </c>
    </row>
    <row r="71" spans="1:8" ht="15.5" x14ac:dyDescent="0.35">
      <c r="A71" s="118" t="s">
        <v>67</v>
      </c>
      <c r="B71" s="119"/>
      <c r="C71" s="13">
        <v>0.78</v>
      </c>
      <c r="D71" s="9" t="s">
        <v>25</v>
      </c>
      <c r="E71" s="108"/>
      <c r="F71" s="109"/>
      <c r="G71" s="21">
        <f>VLOOKUP(A71,'Produce - 50051'!$C$2:$L$400, 10, FALSE)</f>
        <v>4.7851851851851854E-2</v>
      </c>
      <c r="H71" s="10">
        <f t="shared" ref="H71:H73" si="2">G71*C71</f>
        <v>3.7324444444444445E-2</v>
      </c>
    </row>
    <row r="72" spans="1:8" ht="15.5" x14ac:dyDescent="0.35">
      <c r="A72" s="118" t="s">
        <v>68</v>
      </c>
      <c r="B72" s="119"/>
      <c r="C72" s="13">
        <v>0.125</v>
      </c>
      <c r="D72" s="9" t="s">
        <v>25</v>
      </c>
      <c r="E72" s="108"/>
      <c r="F72" s="109"/>
      <c r="G72" s="21">
        <f>VLOOKUP(A72,'Produce - 50051'!$C$2:$L$400, 10, FALSE)</f>
        <v>5.7331460674157307E-2</v>
      </c>
      <c r="H72" s="10">
        <f t="shared" si="2"/>
        <v>7.1664325842696634E-3</v>
      </c>
    </row>
    <row r="73" spans="1:8" ht="15.5" x14ac:dyDescent="0.35">
      <c r="A73" s="118" t="s">
        <v>54</v>
      </c>
      <c r="B73" s="119"/>
      <c r="C73" s="13">
        <v>0.01</v>
      </c>
      <c r="D73" s="9" t="s">
        <v>25</v>
      </c>
      <c r="E73" s="108"/>
      <c r="F73" s="109"/>
      <c r="G73" s="21">
        <f>VLOOKUP(A73,'Produce - 50051'!$C$2:$L$400, 10, FALSE)</f>
        <v>1.6004464285714284</v>
      </c>
      <c r="H73" s="10">
        <f t="shared" si="2"/>
        <v>1.6004464285714285E-2</v>
      </c>
    </row>
    <row r="74" spans="1:8" ht="15.5" x14ac:dyDescent="0.35">
      <c r="A74" s="118"/>
      <c r="B74" s="119"/>
      <c r="C74" s="13"/>
      <c r="D74" s="9" t="s">
        <v>25</v>
      </c>
      <c r="E74" s="108"/>
      <c r="F74" s="109"/>
      <c r="G74" s="21" t="e">
        <f>VLOOKUP(A74,'Produce - 50051'!$C$2:$L$400, 10, FALSE)</f>
        <v>#N/A</v>
      </c>
      <c r="H74" s="10"/>
    </row>
    <row r="75" spans="1:8" ht="15.5" x14ac:dyDescent="0.35">
      <c r="A75" s="114" t="s">
        <v>34</v>
      </c>
      <c r="B75" s="115"/>
      <c r="C75" s="16"/>
      <c r="D75" s="15"/>
      <c r="E75" s="122">
        <f>H75/$H$81</f>
        <v>0</v>
      </c>
      <c r="F75" s="123"/>
      <c r="G75" s="27" t="s">
        <v>24</v>
      </c>
      <c r="H75" s="22">
        <f>SUM(H76:H80)</f>
        <v>0</v>
      </c>
    </row>
    <row r="76" spans="1:8" ht="15.5" x14ac:dyDescent="0.35">
      <c r="A76" s="118"/>
      <c r="B76" s="119"/>
      <c r="C76" s="13"/>
      <c r="D76" s="9" t="s">
        <v>29</v>
      </c>
      <c r="E76" s="108"/>
      <c r="F76" s="109"/>
      <c r="G76" s="21" t="e">
        <f>VLOOKUP(A76,'Bakery - 50041'!$C$2:$J$400, 8, FALSE)</f>
        <v>#N/A</v>
      </c>
      <c r="H76" s="10"/>
    </row>
    <row r="77" spans="1:8" ht="15.5" x14ac:dyDescent="0.35">
      <c r="A77" s="118"/>
      <c r="B77" s="119"/>
      <c r="C77" s="13"/>
      <c r="D77" s="9" t="s">
        <v>25</v>
      </c>
      <c r="E77" s="108"/>
      <c r="F77" s="109"/>
      <c r="G77" s="21" t="e">
        <f>VLOOKUP(A77,'Bakery - 50041'!$C$2:$J$400, 8, FALSE)</f>
        <v>#N/A</v>
      </c>
      <c r="H77" s="10"/>
    </row>
    <row r="78" spans="1:8" ht="15.5" x14ac:dyDescent="0.35">
      <c r="A78" s="114" t="s">
        <v>35</v>
      </c>
      <c r="B78" s="115"/>
      <c r="C78" s="16"/>
      <c r="D78" s="15"/>
      <c r="E78" s="116">
        <f>H78/$H$81</f>
        <v>0</v>
      </c>
      <c r="F78" s="18"/>
      <c r="G78" s="27" t="s">
        <v>24</v>
      </c>
      <c r="H78" s="22">
        <f>SUM(H79:H80)</f>
        <v>0</v>
      </c>
    </row>
    <row r="79" spans="1:8" ht="15.5" x14ac:dyDescent="0.35">
      <c r="A79" s="118"/>
      <c r="B79" s="119"/>
      <c r="C79" s="13"/>
      <c r="D79" s="9" t="s">
        <v>25</v>
      </c>
      <c r="E79" s="108"/>
      <c r="F79" s="109"/>
      <c r="G79" s="21" t="e">
        <f>VLOOKUP(A79,'Frozen - 50061'!$C$2:$J$400, 8, FALSE)</f>
        <v>#N/A</v>
      </c>
      <c r="H79" s="10"/>
    </row>
    <row r="80" spans="1:8" ht="15.5" x14ac:dyDescent="0.35">
      <c r="A80" s="118"/>
      <c r="B80" s="119"/>
      <c r="C80" s="36"/>
      <c r="D80" s="37" t="s">
        <v>25</v>
      </c>
      <c r="E80" s="120"/>
      <c r="F80" s="121"/>
      <c r="G80" s="21" t="e">
        <f>VLOOKUP(A80,'Frozen - 50061'!$C$2:$J$400, 8, FALSE)</f>
        <v>#N/A</v>
      </c>
      <c r="H80" s="10"/>
    </row>
    <row r="81" spans="1:8" ht="16" thickBot="1" x14ac:dyDescent="0.4">
      <c r="A81" s="30"/>
      <c r="B81" s="40"/>
      <c r="C81" s="31"/>
      <c r="D81" s="31"/>
      <c r="E81" s="31"/>
      <c r="F81" s="4" t="s">
        <v>37</v>
      </c>
      <c r="G81" s="4"/>
      <c r="H81" s="35">
        <f>H78+H75+H69+H66+H62+H53</f>
        <v>0.2948504847781443</v>
      </c>
    </row>
    <row r="82" spans="1:8" ht="16" thickBot="1" x14ac:dyDescent="0.4">
      <c r="A82" s="38"/>
      <c r="B82" s="41"/>
      <c r="C82" s="29"/>
      <c r="D82" s="29"/>
      <c r="E82" s="29"/>
      <c r="F82" s="4" t="s">
        <v>38</v>
      </c>
      <c r="G82" s="4"/>
      <c r="H82" s="12"/>
    </row>
    <row r="83" spans="1:8" ht="16" thickBot="1" x14ac:dyDescent="0.4">
      <c r="A83" s="39"/>
      <c r="B83" s="42"/>
      <c r="C83" s="29"/>
      <c r="D83" s="29"/>
      <c r="E83" s="29"/>
      <c r="F83" s="4" t="s">
        <v>39</v>
      </c>
      <c r="G83" s="4"/>
      <c r="H83" s="11">
        <f>H81/D49</f>
        <v>0.2948504847781443</v>
      </c>
    </row>
    <row r="84" spans="1:8" ht="16" thickBot="1" x14ac:dyDescent="0.4">
      <c r="A84" s="39"/>
      <c r="B84" s="42"/>
      <c r="C84" s="29"/>
      <c r="D84" s="29"/>
      <c r="E84" s="29"/>
      <c r="F84" s="23" t="s">
        <v>40</v>
      </c>
      <c r="H84" s="25">
        <f>H82-H83</f>
        <v>-0.2948504847781443</v>
      </c>
    </row>
    <row r="85" spans="1:8" ht="16" thickBot="1" x14ac:dyDescent="0.4">
      <c r="A85" s="39"/>
      <c r="B85" s="42"/>
      <c r="C85" s="29"/>
      <c r="D85" s="29"/>
      <c r="E85" s="29"/>
      <c r="F85" s="24" t="s">
        <v>41</v>
      </c>
      <c r="H85" s="88" t="e">
        <f>H84/H82</f>
        <v>#DIV/0!</v>
      </c>
    </row>
    <row r="86" spans="1:8" ht="18" customHeight="1" x14ac:dyDescent="0.35">
      <c r="A86" s="130" t="s">
        <v>52</v>
      </c>
      <c r="B86" s="130"/>
      <c r="C86" s="130"/>
      <c r="D86" s="130"/>
      <c r="E86" s="130"/>
      <c r="F86" s="130"/>
      <c r="G86" s="130"/>
      <c r="H86" s="130"/>
    </row>
    <row r="87" spans="1:8" ht="15" customHeight="1" x14ac:dyDescent="0.35">
      <c r="A87" s="130"/>
      <c r="B87" s="130"/>
      <c r="C87" s="130"/>
      <c r="D87" s="130"/>
      <c r="E87" s="130"/>
      <c r="F87" s="130"/>
      <c r="G87" s="130"/>
      <c r="H87" s="130"/>
    </row>
    <row r="88" spans="1:8" ht="15" customHeight="1" x14ac:dyDescent="0.35">
      <c r="A88" s="130"/>
      <c r="B88" s="130"/>
      <c r="C88" s="130"/>
      <c r="D88" s="130"/>
      <c r="E88" s="130"/>
      <c r="F88" s="130"/>
      <c r="G88" s="130"/>
      <c r="H88" s="130"/>
    </row>
    <row r="89" spans="1:8" ht="15" customHeight="1" thickBot="1" x14ac:dyDescent="0.4">
      <c r="A89" s="131"/>
      <c r="B89" s="131"/>
      <c r="C89" s="131"/>
      <c r="D89" s="131"/>
      <c r="E89" s="131"/>
      <c r="F89" s="131"/>
      <c r="G89" s="131"/>
      <c r="H89" s="131"/>
    </row>
    <row r="90" spans="1:8" ht="26.5" thickBot="1" x14ac:dyDescent="0.4">
      <c r="A90" s="132" t="s">
        <v>7</v>
      </c>
      <c r="B90" s="132"/>
      <c r="C90" s="132"/>
      <c r="D90" s="133" t="s">
        <v>8</v>
      </c>
      <c r="E90" s="133"/>
      <c r="F90" s="133"/>
      <c r="G90" s="133"/>
      <c r="H90" s="133"/>
    </row>
    <row r="91" spans="1:8" ht="15.5" x14ac:dyDescent="0.35">
      <c r="A91" s="4" t="s">
        <v>9</v>
      </c>
      <c r="B91" s="5"/>
      <c r="C91" s="3"/>
      <c r="D91" s="3"/>
      <c r="E91" s="95" t="s">
        <v>10</v>
      </c>
      <c r="F91" s="96"/>
      <c r="G91" s="96"/>
      <c r="H91" s="97"/>
    </row>
    <row r="92" spans="1:8" ht="16" thickBot="1" x14ac:dyDescent="0.4">
      <c r="A92" s="6" t="s">
        <v>11</v>
      </c>
      <c r="B92" s="5"/>
      <c r="C92" s="4" t="s">
        <v>12</v>
      </c>
      <c r="D92" s="7"/>
      <c r="E92" s="94" t="s">
        <v>13</v>
      </c>
      <c r="F92" s="110"/>
      <c r="G92" s="110"/>
      <c r="H92" s="111"/>
    </row>
    <row r="93" spans="1:8" ht="15.5" x14ac:dyDescent="0.35">
      <c r="A93" s="4" t="s">
        <v>14</v>
      </c>
      <c r="B93" s="34"/>
      <c r="C93" s="4" t="s">
        <v>15</v>
      </c>
      <c r="D93" s="7"/>
      <c r="E93" s="5" t="s">
        <v>45</v>
      </c>
      <c r="H93" s="3"/>
    </row>
    <row r="94" spans="1:8" ht="15.5" x14ac:dyDescent="0.35">
      <c r="A94" s="134" t="s">
        <v>16</v>
      </c>
      <c r="B94" s="135"/>
      <c r="C94" s="138" t="s">
        <v>17</v>
      </c>
      <c r="D94" s="139"/>
      <c r="E94" s="140" t="s">
        <v>18</v>
      </c>
      <c r="F94" s="141"/>
      <c r="G94" s="141"/>
      <c r="H94" s="142"/>
    </row>
    <row r="95" spans="1:8" ht="15.5" x14ac:dyDescent="0.35">
      <c r="A95" s="136"/>
      <c r="B95" s="137"/>
      <c r="C95" s="8" t="s">
        <v>19</v>
      </c>
      <c r="D95" s="8" t="s">
        <v>20</v>
      </c>
      <c r="E95" s="112"/>
      <c r="F95" s="113"/>
      <c r="G95" s="28" t="s">
        <v>21</v>
      </c>
      <c r="H95" s="91" t="s">
        <v>22</v>
      </c>
    </row>
    <row r="96" spans="1:8" ht="15.5" x14ac:dyDescent="0.35">
      <c r="A96" s="105" t="s">
        <v>23</v>
      </c>
      <c r="B96" s="106"/>
      <c r="C96" s="14"/>
      <c r="D96" s="15"/>
      <c r="E96" s="128" t="e">
        <f>H96/$H$124</f>
        <v>#DIV/0!</v>
      </c>
      <c r="F96" s="129"/>
      <c r="G96" s="17" t="s">
        <v>24</v>
      </c>
      <c r="H96" s="22">
        <f>SUM(H97:H104)</f>
        <v>0</v>
      </c>
    </row>
    <row r="97" spans="1:8" ht="15.5" x14ac:dyDescent="0.35">
      <c r="A97" s="118"/>
      <c r="B97" s="119"/>
      <c r="C97" s="19"/>
      <c r="D97" s="9" t="s">
        <v>25</v>
      </c>
      <c r="E97" s="126"/>
      <c r="F97" s="127"/>
      <c r="G97" s="21" t="e">
        <f>VLOOKUP(A97,'Storeroom - 50011'!$C$2:$J$400, 8, FALSE)</f>
        <v>#N/A</v>
      </c>
      <c r="H97" s="10"/>
    </row>
    <row r="98" spans="1:8" ht="15.5" x14ac:dyDescent="0.35">
      <c r="A98" s="118"/>
      <c r="B98" s="119"/>
      <c r="C98" s="19"/>
      <c r="D98" s="9" t="s">
        <v>25</v>
      </c>
      <c r="E98" s="126"/>
      <c r="F98" s="127"/>
      <c r="G98" s="21" t="e">
        <f>VLOOKUP(A98,'Storeroom - 50011'!$C$2:$J$400, 8, FALSE)</f>
        <v>#N/A</v>
      </c>
      <c r="H98" s="10"/>
    </row>
    <row r="99" spans="1:8" ht="15.5" x14ac:dyDescent="0.35">
      <c r="A99" s="118"/>
      <c r="B99" s="119"/>
      <c r="C99" s="19"/>
      <c r="D99" s="9" t="s">
        <v>25</v>
      </c>
      <c r="E99" s="126"/>
      <c r="F99" s="127"/>
      <c r="G99" s="21" t="e">
        <f>VLOOKUP(A99,'Storeroom - 50011'!$C$2:$J$400, 8, FALSE)</f>
        <v>#N/A</v>
      </c>
      <c r="H99" s="10"/>
    </row>
    <row r="100" spans="1:8" ht="15.5" x14ac:dyDescent="0.35">
      <c r="A100" s="118"/>
      <c r="B100" s="119"/>
      <c r="C100" s="19"/>
      <c r="D100" s="9" t="s">
        <v>25</v>
      </c>
      <c r="E100" s="126"/>
      <c r="F100" s="127"/>
      <c r="G100" s="21" t="e">
        <f>VLOOKUP(A100,'Storeroom - 50011'!$C$2:$J$400, 8, FALSE)</f>
        <v>#N/A</v>
      </c>
      <c r="H100" s="10"/>
    </row>
    <row r="101" spans="1:8" ht="15.5" x14ac:dyDescent="0.35">
      <c r="A101" s="118"/>
      <c r="B101" s="119"/>
      <c r="C101" s="19"/>
      <c r="D101" s="9" t="s">
        <v>25</v>
      </c>
      <c r="E101" s="108"/>
      <c r="F101" s="109"/>
      <c r="G101" s="21" t="e">
        <f>VLOOKUP(A101,'Storeroom - 50011'!$C$2:$J$400, 8, FALSE)</f>
        <v>#N/A</v>
      </c>
      <c r="H101" s="10"/>
    </row>
    <row r="102" spans="1:8" ht="15.5" x14ac:dyDescent="0.35">
      <c r="A102" s="118"/>
      <c r="B102" s="119"/>
      <c r="C102" s="19"/>
      <c r="D102" s="9" t="s">
        <v>25</v>
      </c>
      <c r="E102" s="108"/>
      <c r="F102" s="109"/>
      <c r="G102" s="21" t="e">
        <f>VLOOKUP(A102,'Storeroom - 50011'!$C$2:$J$400, 8, FALSE)</f>
        <v>#N/A</v>
      </c>
      <c r="H102" s="10"/>
    </row>
    <row r="103" spans="1:8" ht="15.5" x14ac:dyDescent="0.35">
      <c r="A103" s="118"/>
      <c r="B103" s="119"/>
      <c r="C103" s="19"/>
      <c r="D103" s="9" t="s">
        <v>25</v>
      </c>
      <c r="E103" s="108"/>
      <c r="F103" s="109"/>
      <c r="G103" s="21" t="e">
        <f>VLOOKUP(A103,'Storeroom - 50011'!$C$2:$J$400, 8, FALSE)</f>
        <v>#N/A</v>
      </c>
      <c r="H103" s="10"/>
    </row>
    <row r="104" spans="1:8" ht="15.5" x14ac:dyDescent="0.35">
      <c r="A104" s="118"/>
      <c r="B104" s="119"/>
      <c r="C104" s="19"/>
      <c r="D104" s="9" t="s">
        <v>25</v>
      </c>
      <c r="E104" s="108"/>
      <c r="F104" s="109"/>
      <c r="G104" s="21" t="e">
        <f>VLOOKUP(A104,'Storeroom - 50011'!$C$2:$J$400, 8, FALSE)</f>
        <v>#N/A</v>
      </c>
      <c r="H104" s="10"/>
    </row>
    <row r="105" spans="1:8" ht="15.5" x14ac:dyDescent="0.35">
      <c r="A105" s="114" t="s">
        <v>26</v>
      </c>
      <c r="B105" s="115"/>
      <c r="C105" s="16"/>
      <c r="D105" s="15"/>
      <c r="E105" s="124" t="e">
        <f>H105/$H$124</f>
        <v>#DIV/0!</v>
      </c>
      <c r="F105" s="125"/>
      <c r="G105" s="27" t="s">
        <v>24</v>
      </c>
      <c r="H105" s="22">
        <f>SUM(H106:H108)</f>
        <v>0</v>
      </c>
    </row>
    <row r="106" spans="1:8" ht="15.5" x14ac:dyDescent="0.35">
      <c r="A106" s="118"/>
      <c r="B106" s="119"/>
      <c r="C106" s="13">
        <v>3</v>
      </c>
      <c r="D106" s="9" t="s">
        <v>25</v>
      </c>
      <c r="E106" s="126"/>
      <c r="F106" s="127"/>
      <c r="G106" s="21" t="e">
        <f>VLOOKUP(A106,'Meat - 50021'!$C$2:$L$400, 10, FALSE)</f>
        <v>#N/A</v>
      </c>
      <c r="H106" s="10"/>
    </row>
    <row r="107" spans="1:8" ht="15.5" x14ac:dyDescent="0.35">
      <c r="A107" s="118"/>
      <c r="B107" s="119"/>
      <c r="C107" s="13">
        <v>1</v>
      </c>
      <c r="D107" s="9" t="s">
        <v>25</v>
      </c>
      <c r="E107" s="108"/>
      <c r="F107" s="109"/>
      <c r="G107" s="21" t="e">
        <f>VLOOKUP(A107,'Meat - 50021'!$C$2:$L$400, 10, FALSE)</f>
        <v>#N/A</v>
      </c>
      <c r="H107" s="10"/>
    </row>
    <row r="108" spans="1:8" ht="15.5" x14ac:dyDescent="0.35">
      <c r="A108" s="118"/>
      <c r="B108" s="119"/>
      <c r="C108" s="13"/>
      <c r="D108" s="9" t="s">
        <v>25</v>
      </c>
      <c r="E108" s="126"/>
      <c r="F108" s="127"/>
      <c r="G108" s="21" t="e">
        <f>VLOOKUP(A108,'Meat - 50021'!$C$2:$L$400, 10, FALSE)</f>
        <v>#N/A</v>
      </c>
      <c r="H108" s="10"/>
    </row>
    <row r="109" spans="1:8" ht="15.5" x14ac:dyDescent="0.35">
      <c r="A109" s="114" t="s">
        <v>27</v>
      </c>
      <c r="B109" s="115"/>
      <c r="C109" s="16"/>
      <c r="D109" s="15"/>
      <c r="E109" s="124" t="e">
        <f>H109/$H$124</f>
        <v>#DIV/0!</v>
      </c>
      <c r="F109" s="125"/>
      <c r="G109" s="27" t="s">
        <v>24</v>
      </c>
      <c r="H109" s="22">
        <f>SUM(H110:H111)</f>
        <v>0</v>
      </c>
    </row>
    <row r="110" spans="1:8" ht="15.5" x14ac:dyDescent="0.35">
      <c r="A110" s="118"/>
      <c r="B110" s="119"/>
      <c r="C110" s="13">
        <v>1</v>
      </c>
      <c r="D110" s="9" t="s">
        <v>25</v>
      </c>
      <c r="E110" s="126"/>
      <c r="F110" s="127"/>
      <c r="G110" s="21" t="e">
        <f>VLOOKUP(A110,'Dairy - 50031'!$C$2:$J$400,8, FALSE)</f>
        <v>#N/A</v>
      </c>
      <c r="H110" s="10"/>
    </row>
    <row r="111" spans="1:8" ht="15.5" x14ac:dyDescent="0.35">
      <c r="A111" s="118"/>
      <c r="B111" s="119"/>
      <c r="C111" s="13">
        <v>1</v>
      </c>
      <c r="D111" s="9" t="s">
        <v>25</v>
      </c>
      <c r="E111" s="126"/>
      <c r="F111" s="127"/>
      <c r="G111" s="21" t="e">
        <f>VLOOKUP(A111,'Dairy - 50031'!$C$2:$J$400,8, FALSE)</f>
        <v>#N/A</v>
      </c>
      <c r="H111" s="10"/>
    </row>
    <row r="112" spans="1:8" ht="15.5" x14ac:dyDescent="0.35">
      <c r="A112" s="114" t="s">
        <v>30</v>
      </c>
      <c r="B112" s="115"/>
      <c r="C112" s="16"/>
      <c r="D112" s="15"/>
      <c r="E112" s="124" t="e">
        <f>H112/$H$124</f>
        <v>#DIV/0!</v>
      </c>
      <c r="F112" s="125"/>
      <c r="G112" s="27" t="s">
        <v>24</v>
      </c>
      <c r="H112" s="22">
        <f>SUM(H113:H117)</f>
        <v>0</v>
      </c>
    </row>
    <row r="113" spans="1:8" ht="15.5" x14ac:dyDescent="0.35">
      <c r="A113" s="118"/>
      <c r="B113" s="119"/>
      <c r="C113" s="13"/>
      <c r="D113" s="9" t="s">
        <v>25</v>
      </c>
      <c r="E113" s="108"/>
      <c r="F113" s="109"/>
      <c r="G113" s="21" t="e">
        <f>VLOOKUP(A113,'Produce - 50051'!$C$2:$L$400, 10, FALSE)</f>
        <v>#N/A</v>
      </c>
      <c r="H113" s="10"/>
    </row>
    <row r="114" spans="1:8" ht="15.5" x14ac:dyDescent="0.35">
      <c r="A114" s="118"/>
      <c r="B114" s="119"/>
      <c r="C114" s="13"/>
      <c r="D114" s="9" t="s">
        <v>25</v>
      </c>
      <c r="E114" s="108"/>
      <c r="F114" s="109"/>
      <c r="G114" s="21" t="e">
        <f>VLOOKUP(A114,'Produce - 50051'!$C$2:$L$400, 10, FALSE)</f>
        <v>#N/A</v>
      </c>
      <c r="H114" s="10"/>
    </row>
    <row r="115" spans="1:8" ht="15.5" x14ac:dyDescent="0.35">
      <c r="A115" s="118"/>
      <c r="B115" s="119"/>
      <c r="C115" s="13"/>
      <c r="D115" s="9" t="s">
        <v>25</v>
      </c>
      <c r="E115" s="108"/>
      <c r="F115" s="109"/>
      <c r="G115" s="21" t="e">
        <f>VLOOKUP(A115,'Produce - 50051'!$C$2:$L$400, 10, FALSE)</f>
        <v>#N/A</v>
      </c>
      <c r="H115" s="10"/>
    </row>
    <row r="116" spans="1:8" ht="15.5" x14ac:dyDescent="0.35">
      <c r="A116" s="118"/>
      <c r="B116" s="119"/>
      <c r="C116" s="13"/>
      <c r="D116" s="9" t="s">
        <v>25</v>
      </c>
      <c r="E116" s="108"/>
      <c r="F116" s="109"/>
      <c r="G116" s="21" t="e">
        <f>VLOOKUP(A116,'Produce - 50051'!$C$2:$L$400, 10, FALSE)</f>
        <v>#N/A</v>
      </c>
      <c r="H116" s="10"/>
    </row>
    <row r="117" spans="1:8" ht="15.5" x14ac:dyDescent="0.35">
      <c r="A117" s="118"/>
      <c r="B117" s="119"/>
      <c r="C117" s="13"/>
      <c r="D117" s="9" t="s">
        <v>25</v>
      </c>
      <c r="E117" s="108"/>
      <c r="F117" s="109"/>
      <c r="G117" s="21" t="e">
        <f>VLOOKUP(A117,'Produce - 50051'!$C$2:$L$400, 10, FALSE)</f>
        <v>#N/A</v>
      </c>
      <c r="H117" s="10"/>
    </row>
    <row r="118" spans="1:8" ht="15.5" x14ac:dyDescent="0.35">
      <c r="A118" s="114" t="s">
        <v>34</v>
      </c>
      <c r="B118" s="115"/>
      <c r="C118" s="16"/>
      <c r="D118" s="15"/>
      <c r="E118" s="122" t="e">
        <f>H118/$H$124</f>
        <v>#DIV/0!</v>
      </c>
      <c r="F118" s="123"/>
      <c r="G118" s="27" t="s">
        <v>24</v>
      </c>
      <c r="H118" s="22">
        <f>SUM(H119:H123)</f>
        <v>0</v>
      </c>
    </row>
    <row r="119" spans="1:8" ht="15.5" x14ac:dyDescent="0.35">
      <c r="A119" s="118"/>
      <c r="B119" s="119"/>
      <c r="C119" s="13"/>
      <c r="D119" s="9" t="s">
        <v>29</v>
      </c>
      <c r="E119" s="108"/>
      <c r="F119" s="109"/>
      <c r="G119" s="21" t="e">
        <f>VLOOKUP(A119,'Bakery - 50041'!$C$2:$J$400, 8, FALSE)</f>
        <v>#N/A</v>
      </c>
      <c r="H119" s="10"/>
    </row>
    <row r="120" spans="1:8" ht="15.5" x14ac:dyDescent="0.35">
      <c r="A120" s="118"/>
      <c r="B120" s="119"/>
      <c r="C120" s="13"/>
      <c r="D120" s="9" t="s">
        <v>25</v>
      </c>
      <c r="E120" s="108"/>
      <c r="F120" s="109"/>
      <c r="G120" s="21" t="e">
        <f>VLOOKUP(A120,'Bakery - 50041'!$C$2:$J$400, 8, FALSE)</f>
        <v>#N/A</v>
      </c>
      <c r="H120" s="10"/>
    </row>
    <row r="121" spans="1:8" ht="15.5" x14ac:dyDescent="0.35">
      <c r="A121" s="114" t="s">
        <v>35</v>
      </c>
      <c r="B121" s="115"/>
      <c r="C121" s="16"/>
      <c r="D121" s="15"/>
      <c r="E121" s="116" t="e">
        <f>H121/$H$124</f>
        <v>#DIV/0!</v>
      </c>
      <c r="F121" s="18"/>
      <c r="G121" s="27" t="s">
        <v>24</v>
      </c>
      <c r="H121" s="22">
        <f>SUM(H122:H123)</f>
        <v>0</v>
      </c>
    </row>
    <row r="122" spans="1:8" ht="15.5" x14ac:dyDescent="0.35">
      <c r="A122" s="118"/>
      <c r="B122" s="119"/>
      <c r="C122" s="13"/>
      <c r="D122" s="9" t="s">
        <v>25</v>
      </c>
      <c r="E122" s="108"/>
      <c r="F122" s="109"/>
      <c r="G122" s="21" t="e">
        <f>VLOOKUP(A122,'Frozen - 50061'!$C$2:$J$400, 8, FALSE)</f>
        <v>#N/A</v>
      </c>
      <c r="H122" s="10"/>
    </row>
    <row r="123" spans="1:8" ht="15.5" x14ac:dyDescent="0.35">
      <c r="A123" s="118"/>
      <c r="B123" s="119"/>
      <c r="C123" s="36"/>
      <c r="D123" s="37" t="s">
        <v>25</v>
      </c>
      <c r="E123" s="120"/>
      <c r="F123" s="121"/>
      <c r="G123" s="21" t="e">
        <f>VLOOKUP(A123,'Frozen - 50061'!$C$2:$J$400, 8, FALSE)</f>
        <v>#N/A</v>
      </c>
      <c r="H123" s="10"/>
    </row>
    <row r="124" spans="1:8" ht="16" thickBot="1" x14ac:dyDescent="0.4">
      <c r="A124" s="30"/>
      <c r="B124" s="40"/>
      <c r="C124" s="31"/>
      <c r="D124" s="31"/>
      <c r="E124" s="31"/>
      <c r="F124" s="4" t="s">
        <v>37</v>
      </c>
      <c r="G124" s="4"/>
      <c r="H124" s="35">
        <f>H121+H118+H112+H109+H105+H96</f>
        <v>0</v>
      </c>
    </row>
    <row r="125" spans="1:8" ht="16" thickBot="1" x14ac:dyDescent="0.4">
      <c r="A125" s="38"/>
      <c r="B125" s="41"/>
      <c r="C125" s="29"/>
      <c r="D125" s="29"/>
      <c r="E125" s="29"/>
      <c r="F125" s="4" t="s">
        <v>38</v>
      </c>
      <c r="G125" s="4"/>
      <c r="H125" s="12"/>
    </row>
    <row r="126" spans="1:8" ht="16" thickBot="1" x14ac:dyDescent="0.4">
      <c r="A126" s="39"/>
      <c r="B126" s="42"/>
      <c r="C126" s="29"/>
      <c r="D126" s="29"/>
      <c r="E126" s="29"/>
      <c r="F126" s="4" t="s">
        <v>39</v>
      </c>
      <c r="G126" s="4"/>
      <c r="H126" s="11" t="e">
        <f>H124/D93</f>
        <v>#DIV/0!</v>
      </c>
    </row>
    <row r="127" spans="1:8" ht="16" thickBot="1" x14ac:dyDescent="0.4">
      <c r="A127" s="39"/>
      <c r="B127" s="42"/>
      <c r="C127" s="29"/>
      <c r="D127" s="29"/>
      <c r="E127" s="29"/>
      <c r="F127" s="23" t="s">
        <v>40</v>
      </c>
      <c r="H127" s="25" t="e">
        <f>H125-H126</f>
        <v>#DIV/0!</v>
      </c>
    </row>
    <row r="128" spans="1:8" ht="16" thickBot="1" x14ac:dyDescent="0.4">
      <c r="A128" s="39"/>
      <c r="B128" s="42"/>
      <c r="C128" s="29"/>
      <c r="D128" s="29"/>
      <c r="E128" s="29"/>
      <c r="F128" s="24" t="s">
        <v>41</v>
      </c>
      <c r="H128" s="26" t="e">
        <f>H127/H125</f>
        <v>#DIV/0!</v>
      </c>
    </row>
  </sheetData>
  <mergeCells count="137">
    <mergeCell ref="A7:B7"/>
    <mergeCell ref="E7:F7"/>
    <mergeCell ref="A8:B8"/>
    <mergeCell ref="E8:F8"/>
    <mergeCell ref="A9:B9"/>
    <mergeCell ref="E9:F9"/>
    <mergeCell ref="A1:C1"/>
    <mergeCell ref="D1:H1"/>
    <mergeCell ref="E3:H3"/>
    <mergeCell ref="A5:B6"/>
    <mergeCell ref="C5:D5"/>
    <mergeCell ref="E5:H5"/>
    <mergeCell ref="E6:F6"/>
    <mergeCell ref="A14:B14"/>
    <mergeCell ref="A15:B15"/>
    <mergeCell ref="A16:B16"/>
    <mergeCell ref="E16:F16"/>
    <mergeCell ref="A17:B17"/>
    <mergeCell ref="E17:F17"/>
    <mergeCell ref="A10:B10"/>
    <mergeCell ref="E10:F10"/>
    <mergeCell ref="A11:B11"/>
    <mergeCell ref="E11:F11"/>
    <mergeCell ref="A12:B12"/>
    <mergeCell ref="A13:B13"/>
    <mergeCell ref="A22:B22"/>
    <mergeCell ref="E22:F22"/>
    <mergeCell ref="A23:B23"/>
    <mergeCell ref="E23:F23"/>
    <mergeCell ref="A24:B24"/>
    <mergeCell ref="A25:B25"/>
    <mergeCell ref="A19:B19"/>
    <mergeCell ref="E19:F19"/>
    <mergeCell ref="A20:B20"/>
    <mergeCell ref="E20:F20"/>
    <mergeCell ref="A21:B21"/>
    <mergeCell ref="E21:F21"/>
    <mergeCell ref="A33:B33"/>
    <mergeCell ref="A34:B34"/>
    <mergeCell ref="E34:F34"/>
    <mergeCell ref="A43:H46"/>
    <mergeCell ref="A47:C47"/>
    <mergeCell ref="D47:H47"/>
    <mergeCell ref="A26:B26"/>
    <mergeCell ref="A27:B27"/>
    <mergeCell ref="A28:B28"/>
    <mergeCell ref="E29:F29"/>
    <mergeCell ref="A30:B30"/>
    <mergeCell ref="A31:B31"/>
    <mergeCell ref="A54:B54"/>
    <mergeCell ref="E54:F54"/>
    <mergeCell ref="A55:B55"/>
    <mergeCell ref="E55:F55"/>
    <mergeCell ref="A56:B56"/>
    <mergeCell ref="E56:F56"/>
    <mergeCell ref="E49:H49"/>
    <mergeCell ref="A51:B52"/>
    <mergeCell ref="C51:D51"/>
    <mergeCell ref="E51:H51"/>
    <mergeCell ref="E52:F52"/>
    <mergeCell ref="A53:B53"/>
    <mergeCell ref="E53:F53"/>
    <mergeCell ref="A62:B62"/>
    <mergeCell ref="E62:F62"/>
    <mergeCell ref="A63:B63"/>
    <mergeCell ref="E63:F63"/>
    <mergeCell ref="A64:B64"/>
    <mergeCell ref="A65:B65"/>
    <mergeCell ref="E65:F65"/>
    <mergeCell ref="A57:B57"/>
    <mergeCell ref="E57:F57"/>
    <mergeCell ref="A58:B58"/>
    <mergeCell ref="A59:B59"/>
    <mergeCell ref="A60:B60"/>
    <mergeCell ref="A61:B61"/>
    <mergeCell ref="A69:B69"/>
    <mergeCell ref="E69:F69"/>
    <mergeCell ref="A70:B70"/>
    <mergeCell ref="A71:B71"/>
    <mergeCell ref="A72:B72"/>
    <mergeCell ref="A73:B73"/>
    <mergeCell ref="A66:B66"/>
    <mergeCell ref="E66:F66"/>
    <mergeCell ref="A67:B67"/>
    <mergeCell ref="E67:F67"/>
    <mergeCell ref="A68:B68"/>
    <mergeCell ref="E68:F68"/>
    <mergeCell ref="A86:H89"/>
    <mergeCell ref="A90:C90"/>
    <mergeCell ref="D90:H90"/>
    <mergeCell ref="A94:B95"/>
    <mergeCell ref="C94:D94"/>
    <mergeCell ref="E94:H94"/>
    <mergeCell ref="A74:B74"/>
    <mergeCell ref="E75:F75"/>
    <mergeCell ref="A76:B76"/>
    <mergeCell ref="A77:B77"/>
    <mergeCell ref="A79:B79"/>
    <mergeCell ref="A80:B80"/>
    <mergeCell ref="E80:F80"/>
    <mergeCell ref="A100:B100"/>
    <mergeCell ref="E100:F100"/>
    <mergeCell ref="A101:B101"/>
    <mergeCell ref="A102:B102"/>
    <mergeCell ref="A103:B103"/>
    <mergeCell ref="A104:B104"/>
    <mergeCell ref="E96:F96"/>
    <mergeCell ref="A97:B97"/>
    <mergeCell ref="E97:F97"/>
    <mergeCell ref="A98:B98"/>
    <mergeCell ref="E98:F98"/>
    <mergeCell ref="A99:B99"/>
    <mergeCell ref="E99:F99"/>
    <mergeCell ref="A18:B18"/>
    <mergeCell ref="A119:B119"/>
    <mergeCell ref="A120:B120"/>
    <mergeCell ref="A122:B122"/>
    <mergeCell ref="A123:B123"/>
    <mergeCell ref="E123:F123"/>
    <mergeCell ref="A113:B113"/>
    <mergeCell ref="A114:B114"/>
    <mergeCell ref="A115:B115"/>
    <mergeCell ref="A116:B116"/>
    <mergeCell ref="A117:B117"/>
    <mergeCell ref="E118:F118"/>
    <mergeCell ref="E109:F109"/>
    <mergeCell ref="A110:B110"/>
    <mergeCell ref="E110:F110"/>
    <mergeCell ref="A111:B111"/>
    <mergeCell ref="E111:F111"/>
    <mergeCell ref="E112:F112"/>
    <mergeCell ref="E105:F105"/>
    <mergeCell ref="A106:B106"/>
    <mergeCell ref="E106:F106"/>
    <mergeCell ref="A107:B107"/>
    <mergeCell ref="A108:B108"/>
    <mergeCell ref="E108:F108"/>
  </mergeCells>
  <hyperlinks>
    <hyperlink ref="E3" r:id="rId1" xr:uid="{6B3DCC11-C27C-4D31-A29A-A9F6934007E8}"/>
    <hyperlink ref="E49" r:id="rId2" xr:uid="{6398A076-ED2C-4A1E-A364-1AF33BC075DF}"/>
    <hyperlink ref="E92" r:id="rId3" xr:uid="{B949A618-6C22-4875-9D1B-F74C995C6F8D}"/>
    <hyperlink ref="D1" r:id="rId4" xr:uid="{86021A98-C1C2-4B1E-BA7B-FB1304DFB3FF}"/>
    <hyperlink ref="D47" r:id="rId5" xr:uid="{53BE4305-DD2D-4F70-AA6B-E5D2DD605510}"/>
    <hyperlink ref="D90" r:id="rId6" xr:uid="{3C715A78-4021-4E2D-B5E9-D2F96BDEB725}"/>
  </hyperlinks>
  <pageMargins left="0.7" right="0.7" top="0.75" bottom="0.75" header="0.3" footer="0.3"/>
  <pageSetup orientation="portrait" r:id="rId7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775A015D-C15A-4843-AC94-96424243D235}">
          <x14:formula1>
            <xm:f>'Dairy - 50031'!$C$2:$C$400</xm:f>
          </x14:formula1>
          <xm:sqref>A67:B68 A110:B111</xm:sqref>
        </x14:dataValidation>
        <x14:dataValidation type="list" allowBlank="1" showInputMessage="1" showErrorMessage="1" xr:uid="{185AF5FF-0833-4223-9707-D62A4EE82DEC}">
          <x14:formula1>
            <xm:f>'Meat - 50021'!$C$2:$C$400</xm:f>
          </x14:formula1>
          <xm:sqref>A63:B65 A106:B108</xm:sqref>
        </x14:dataValidation>
        <x14:dataValidation type="list" allowBlank="1" showInputMessage="1" showErrorMessage="1" errorTitle="Item" xr:uid="{405CDF7A-B6E3-4B5A-B287-F10610138B7C}">
          <x14:formula1>
            <xm:f>'Storeroom - 50011'!$C$2:$C$400</xm:f>
          </x14:formula1>
          <xm:sqref>A54:B61 A97:B104</xm:sqref>
        </x14:dataValidation>
        <x14:dataValidation type="list" allowBlank="1" showInputMessage="1" showErrorMessage="1" xr:uid="{7B47247A-BF24-40E1-9B43-3F7BD4E6A8D8}">
          <x14:formula1>
            <xm:f>'Frozen - 50061'!$C$2:$C$400</xm:f>
          </x14:formula1>
          <xm:sqref>A33:B34 A79:B80 A122:B123</xm:sqref>
        </x14:dataValidation>
        <x14:dataValidation type="list" allowBlank="1" showInputMessage="1" showErrorMessage="1" xr:uid="{B1C6CB76-8629-4B06-A952-CD9CB3A22C98}">
          <x14:formula1>
            <xm:f>'Produce - 50051'!$C$2:$C$400</xm:f>
          </x14:formula1>
          <xm:sqref>A24:B28 A70:B74 A113:B117</xm:sqref>
        </x14:dataValidation>
        <x14:dataValidation type="list" allowBlank="1" showInputMessage="1" showErrorMessage="1" xr:uid="{A530E454-1A9D-4DB6-A371-8819D642C72B}">
          <x14:formula1>
            <xm:f>'Dairy - 50031'!$C$2:$C$100</xm:f>
          </x14:formula1>
          <xm:sqref>A21:B22</xm:sqref>
        </x14:dataValidation>
        <x14:dataValidation type="list" allowBlank="1" showInputMessage="1" showErrorMessage="1" xr:uid="{73521A9F-DF89-4BFC-910E-B35F4E53B2C0}">
          <x14:formula1>
            <xm:f>'Meat - 50021'!$C$2:$C$110</xm:f>
          </x14:formula1>
          <xm:sqref>A17:B17</xm:sqref>
        </x14:dataValidation>
        <x14:dataValidation type="list" allowBlank="1" showInputMessage="1" showErrorMessage="1" errorTitle="Item" xr:uid="{F2402B51-6671-49C7-B05D-22D9CA17A645}">
          <x14:formula1>
            <xm:f>'Storeroom - 50011'!$C$2:$C$309</xm:f>
          </x14:formula1>
          <xm:sqref>A8:B15</xm:sqref>
        </x14:dataValidation>
        <x14:dataValidation type="list" allowBlank="1" showInputMessage="1" showErrorMessage="1" xr:uid="{17C64B5F-CC61-4D53-9CEE-E09D7C6E673A}">
          <x14:formula1>
            <xm:f>'Bakery - 50041'!$C$2:$C$400</xm:f>
          </x14:formula1>
          <xm:sqref>A30:B31 A76:B77 A119:B120</xm:sqref>
        </x14:dataValidation>
        <x14:dataValidation type="list" allowBlank="1" showInputMessage="1" showErrorMessage="1" xr:uid="{9840AFC1-45AE-4396-977B-F5C62F573EA6}">
          <x14:formula1>
            <xm:f>'Meat - 50021'!$C$2:$C$96</xm:f>
          </x14:formula1>
          <xm:sqref>A18:B19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6E72B-CA09-4AAA-B6E2-B74800A901E8}">
  <sheetPr codeName="Sheet7"/>
  <dimension ref="A1:J128"/>
  <sheetViews>
    <sheetView workbookViewId="0">
      <selection activeCell="E4" sqref="E4"/>
    </sheetView>
  </sheetViews>
  <sheetFormatPr defaultColWidth="8.7265625" defaultRowHeight="14.5" x14ac:dyDescent="0.35"/>
  <cols>
    <col min="1" max="1" width="18.1796875" style="54" customWidth="1"/>
    <col min="2" max="2" width="16.453125" style="54" customWidth="1"/>
    <col min="3" max="3" width="13.453125" style="54" customWidth="1"/>
    <col min="4" max="4" width="12.453125" style="54" customWidth="1"/>
    <col min="5" max="5" width="6" style="54" customWidth="1"/>
    <col min="6" max="6" width="1.26953125" style="54" customWidth="1"/>
    <col min="7" max="7" width="8.7265625" style="54"/>
    <col min="8" max="8" width="12" style="54" customWidth="1"/>
    <col min="9" max="9" width="8.7265625" style="54"/>
    <col min="10" max="10" width="13.26953125" style="54" customWidth="1"/>
    <col min="11" max="16384" width="8.7265625" style="54"/>
  </cols>
  <sheetData>
    <row r="1" spans="1:10" ht="25.5" customHeight="1" thickBot="1" x14ac:dyDescent="0.4">
      <c r="A1" s="159" t="s">
        <v>7</v>
      </c>
      <c r="B1" s="159"/>
      <c r="C1" s="159"/>
      <c r="D1" s="160" t="s">
        <v>8</v>
      </c>
      <c r="E1" s="160"/>
      <c r="F1" s="160"/>
      <c r="G1" s="160"/>
      <c r="H1" s="160"/>
    </row>
    <row r="2" spans="1:10" ht="15.5" x14ac:dyDescent="0.35">
      <c r="A2" s="4" t="s">
        <v>9</v>
      </c>
      <c r="B2" s="5" t="s">
        <v>4</v>
      </c>
      <c r="C2" s="3"/>
      <c r="D2" s="3"/>
      <c r="E2" s="95" t="s">
        <v>10</v>
      </c>
      <c r="F2" s="96"/>
      <c r="G2" s="96"/>
      <c r="H2" s="97"/>
    </row>
    <row r="3" spans="1:10" ht="16" thickBot="1" x14ac:dyDescent="0.4">
      <c r="A3" s="6" t="s">
        <v>11</v>
      </c>
      <c r="B3" s="5"/>
      <c r="C3" s="4" t="s">
        <v>12</v>
      </c>
      <c r="D3" s="7">
        <v>24</v>
      </c>
      <c r="E3" s="146" t="s">
        <v>13</v>
      </c>
      <c r="F3" s="147"/>
      <c r="G3" s="147"/>
      <c r="H3" s="148"/>
      <c r="I3" s="3"/>
    </row>
    <row r="4" spans="1:10" ht="15.5" x14ac:dyDescent="0.35">
      <c r="A4" s="4" t="s">
        <v>14</v>
      </c>
      <c r="B4" s="34"/>
      <c r="C4" s="4" t="s">
        <v>15</v>
      </c>
      <c r="D4" s="7">
        <v>1</v>
      </c>
      <c r="E4" s="5" t="s">
        <v>2</v>
      </c>
      <c r="H4" s="3"/>
      <c r="I4" s="3"/>
      <c r="J4" s="3"/>
    </row>
    <row r="5" spans="1:10" ht="15.5" x14ac:dyDescent="0.35">
      <c r="A5" s="149" t="s">
        <v>16</v>
      </c>
      <c r="B5" s="150"/>
      <c r="C5" s="153" t="s">
        <v>17</v>
      </c>
      <c r="D5" s="154"/>
      <c r="E5" s="140" t="s">
        <v>18</v>
      </c>
      <c r="F5" s="141"/>
      <c r="G5" s="141"/>
      <c r="H5" s="142"/>
      <c r="I5" s="3"/>
      <c r="J5" s="3"/>
    </row>
    <row r="6" spans="1:10" ht="15.5" x14ac:dyDescent="0.35">
      <c r="A6" s="151"/>
      <c r="B6" s="152"/>
      <c r="C6" s="8" t="s">
        <v>19</v>
      </c>
      <c r="D6" s="8" t="s">
        <v>20</v>
      </c>
      <c r="E6" s="155"/>
      <c r="F6" s="156"/>
      <c r="G6" s="92" t="s">
        <v>21</v>
      </c>
      <c r="H6" s="93" t="s">
        <v>22</v>
      </c>
      <c r="I6" s="32"/>
      <c r="J6" s="32"/>
    </row>
    <row r="7" spans="1:10" ht="15.5" x14ac:dyDescent="0.35">
      <c r="A7" s="157" t="s">
        <v>23</v>
      </c>
      <c r="B7" s="158"/>
      <c r="C7" s="14"/>
      <c r="D7" s="15"/>
      <c r="E7" s="128">
        <f>(H7+H96+H53)/H35</f>
        <v>0.12578614409243646</v>
      </c>
      <c r="F7" s="129"/>
      <c r="G7" s="17" t="s">
        <v>24</v>
      </c>
      <c r="H7" s="22">
        <f>SUM(H8:H15)</f>
        <v>0</v>
      </c>
      <c r="I7" s="33"/>
      <c r="J7" s="33"/>
    </row>
    <row r="8" spans="1:10" ht="15.5" x14ac:dyDescent="0.35">
      <c r="A8" s="118"/>
      <c r="B8" s="145"/>
      <c r="C8" s="19"/>
      <c r="D8" s="9" t="s">
        <v>25</v>
      </c>
      <c r="E8" s="126"/>
      <c r="F8" s="127"/>
      <c r="G8" s="21" t="e">
        <f>VLOOKUP(A8,'Storeroom - 50011'!$C$2:$J$400, 8, FALSE)</f>
        <v>#N/A</v>
      </c>
      <c r="H8" s="10"/>
      <c r="I8" s="33"/>
      <c r="J8" s="33"/>
    </row>
    <row r="9" spans="1:10" ht="15.5" x14ac:dyDescent="0.35">
      <c r="A9" s="118"/>
      <c r="B9" s="145"/>
      <c r="C9" s="19"/>
      <c r="D9" s="9" t="s">
        <v>25</v>
      </c>
      <c r="E9" s="126"/>
      <c r="F9" s="127"/>
      <c r="G9" s="21" t="e">
        <f>VLOOKUP(A9,'Storeroom - 50011'!$C$2:$J$400, 8, FALSE)</f>
        <v>#N/A</v>
      </c>
      <c r="H9" s="10"/>
      <c r="I9" s="33"/>
      <c r="J9" s="33"/>
    </row>
    <row r="10" spans="1:10" ht="15.5" x14ac:dyDescent="0.35">
      <c r="A10" s="118"/>
      <c r="B10" s="145"/>
      <c r="C10" s="19"/>
      <c r="D10" s="9" t="s">
        <v>25</v>
      </c>
      <c r="E10" s="126"/>
      <c r="F10" s="127"/>
      <c r="G10" s="21" t="e">
        <f>VLOOKUP(A10,'Storeroom - 50011'!$C$2:$J$400, 8, FALSE)</f>
        <v>#N/A</v>
      </c>
      <c r="H10" s="10"/>
      <c r="I10" s="33"/>
      <c r="J10" s="33"/>
    </row>
    <row r="11" spans="1:10" ht="15.5" x14ac:dyDescent="0.35">
      <c r="A11" s="118"/>
      <c r="B11" s="145"/>
      <c r="C11" s="19"/>
      <c r="D11" s="9" t="s">
        <v>25</v>
      </c>
      <c r="E11" s="126"/>
      <c r="F11" s="127"/>
      <c r="G11" s="21" t="e">
        <f>VLOOKUP(A11,'Storeroom - 50011'!$C$2:$J$400, 8, FALSE)</f>
        <v>#N/A</v>
      </c>
      <c r="H11" s="10"/>
      <c r="I11" s="33"/>
      <c r="J11" s="33"/>
    </row>
    <row r="12" spans="1:10" ht="15.5" x14ac:dyDescent="0.35">
      <c r="A12" s="118"/>
      <c r="B12" s="145"/>
      <c r="C12" s="19"/>
      <c r="D12" s="9" t="s">
        <v>25</v>
      </c>
      <c r="E12" s="108"/>
      <c r="F12" s="109"/>
      <c r="G12" s="21" t="e">
        <f>VLOOKUP(A12,'Storeroom - 50011'!$C$2:$J$400, 8, FALSE)</f>
        <v>#N/A</v>
      </c>
      <c r="H12" s="10"/>
      <c r="I12" s="33"/>
      <c r="J12" s="33"/>
    </row>
    <row r="13" spans="1:10" ht="15.5" x14ac:dyDescent="0.35">
      <c r="A13" s="118"/>
      <c r="B13" s="145"/>
      <c r="C13" s="19"/>
      <c r="D13" s="9" t="s">
        <v>25</v>
      </c>
      <c r="E13" s="108"/>
      <c r="F13" s="109"/>
      <c r="G13" s="21" t="e">
        <f>VLOOKUP(A13,'Storeroom - 50011'!$C$2:$J$400, 8, FALSE)</f>
        <v>#N/A</v>
      </c>
      <c r="H13" s="10"/>
      <c r="I13" s="33"/>
      <c r="J13" s="33"/>
    </row>
    <row r="14" spans="1:10" ht="15.5" x14ac:dyDescent="0.35">
      <c r="A14" s="118"/>
      <c r="B14" s="145"/>
      <c r="C14" s="19"/>
      <c r="D14" s="9" t="s">
        <v>25</v>
      </c>
      <c r="E14" s="108"/>
      <c r="F14" s="109"/>
      <c r="G14" s="21" t="e">
        <f>VLOOKUP(A14,'Storeroom - 50011'!$C$2:$J$400, 8, FALSE)</f>
        <v>#N/A</v>
      </c>
      <c r="H14" s="10"/>
      <c r="I14" s="33"/>
      <c r="J14" s="33"/>
    </row>
    <row r="15" spans="1:10" ht="15.5" x14ac:dyDescent="0.35">
      <c r="A15" s="118"/>
      <c r="B15" s="145"/>
      <c r="C15" s="19"/>
      <c r="D15" s="9" t="s">
        <v>25</v>
      </c>
      <c r="E15" s="108"/>
      <c r="F15" s="109"/>
      <c r="G15" s="21" t="e">
        <f>VLOOKUP(A15,'Storeroom - 50011'!$C$2:$J$400, 8, FALSE)</f>
        <v>#N/A</v>
      </c>
      <c r="H15" s="10"/>
      <c r="I15" s="33"/>
      <c r="J15" s="33"/>
    </row>
    <row r="16" spans="1:10" ht="15.5" x14ac:dyDescent="0.35">
      <c r="A16" s="143" t="s">
        <v>26</v>
      </c>
      <c r="B16" s="144"/>
      <c r="C16" s="16"/>
      <c r="D16" s="15"/>
      <c r="E16" s="124">
        <f>(H16+H62+H105)/H35</f>
        <v>0.75403955446122695</v>
      </c>
      <c r="F16" s="125"/>
      <c r="G16" s="27" t="s">
        <v>24</v>
      </c>
      <c r="H16" s="22">
        <f>SUM(H17:H19)</f>
        <v>16.195</v>
      </c>
      <c r="I16" s="33"/>
      <c r="J16" s="33"/>
    </row>
    <row r="17" spans="1:10" ht="15.5" x14ac:dyDescent="0.35">
      <c r="A17" s="118" t="s">
        <v>69</v>
      </c>
      <c r="B17" s="145"/>
      <c r="C17" s="13">
        <v>24</v>
      </c>
      <c r="D17" s="9" t="s">
        <v>29</v>
      </c>
      <c r="E17" s="126"/>
      <c r="F17" s="127"/>
      <c r="G17" s="21">
        <f>VLOOKUP(A17,'Meat - 50021'!$C$2:$L$400, 10, FALSE)</f>
        <v>0.67479166666666668</v>
      </c>
      <c r="H17" s="10">
        <f>G17*C17</f>
        <v>16.195</v>
      </c>
      <c r="I17" s="33"/>
      <c r="J17" s="33"/>
    </row>
    <row r="18" spans="1:10" ht="15.5" x14ac:dyDescent="0.35">
      <c r="A18" s="118"/>
      <c r="B18" s="145"/>
      <c r="C18" s="13"/>
      <c r="D18" s="9" t="s">
        <v>25</v>
      </c>
      <c r="E18" s="108"/>
      <c r="F18" s="109"/>
      <c r="G18" s="21" t="e">
        <f>VLOOKUP(A18,'Meat - 50021'!$C$2:$L$400, 10, FALSE)</f>
        <v>#N/A</v>
      </c>
      <c r="H18" s="10"/>
      <c r="I18" s="33"/>
      <c r="J18" s="33"/>
    </row>
    <row r="19" spans="1:10" ht="15.5" x14ac:dyDescent="0.35">
      <c r="A19" s="118"/>
      <c r="B19" s="145"/>
      <c r="C19" s="13"/>
      <c r="D19" s="9" t="s">
        <v>25</v>
      </c>
      <c r="E19" s="126"/>
      <c r="F19" s="127"/>
      <c r="G19" s="21" t="e">
        <f>VLOOKUP(A19,'Meat - 50021'!$C$2:$L$400, 10, FALSE)</f>
        <v>#N/A</v>
      </c>
      <c r="H19" s="10"/>
      <c r="I19" s="33"/>
      <c r="J19" s="33"/>
    </row>
    <row r="20" spans="1:10" ht="15.5" x14ac:dyDescent="0.35">
      <c r="A20" s="143" t="s">
        <v>27</v>
      </c>
      <c r="B20" s="144"/>
      <c r="C20" s="16"/>
      <c r="D20" s="15"/>
      <c r="E20" s="124">
        <f>(H20+H66+H109)/H35</f>
        <v>8.6767510787937652E-2</v>
      </c>
      <c r="F20" s="125"/>
      <c r="G20" s="27" t="s">
        <v>24</v>
      </c>
      <c r="H20" s="22">
        <f>SUM(H21:H22)</f>
        <v>1.8635625</v>
      </c>
      <c r="I20" s="33"/>
      <c r="J20" s="33"/>
    </row>
    <row r="21" spans="1:10" ht="15.5" x14ac:dyDescent="0.35">
      <c r="A21" s="118" t="s">
        <v>70</v>
      </c>
      <c r="B21" s="145"/>
      <c r="C21" s="13">
        <v>12</v>
      </c>
      <c r="D21" s="9" t="s">
        <v>25</v>
      </c>
      <c r="E21" s="126"/>
      <c r="F21" s="127"/>
      <c r="G21" s="21">
        <f>VLOOKUP(A21,'Dairy - 50031'!$C$2:$J$400,8, FALSE)</f>
        <v>0.155296875</v>
      </c>
      <c r="H21" s="10">
        <f>G21*C21</f>
        <v>1.8635625</v>
      </c>
      <c r="I21" s="33"/>
      <c r="J21" s="33"/>
    </row>
    <row r="22" spans="1:10" ht="15.5" x14ac:dyDescent="0.35">
      <c r="A22" s="118"/>
      <c r="B22" s="145"/>
      <c r="C22" s="13"/>
      <c r="D22" s="9" t="s">
        <v>29</v>
      </c>
      <c r="E22" s="126"/>
      <c r="F22" s="127"/>
      <c r="G22" s="21" t="e">
        <f>VLOOKUP(A22,'Dairy - 50031'!$C$2:$J$400,8, FALSE)</f>
        <v>#N/A</v>
      </c>
      <c r="H22" s="10"/>
      <c r="I22" s="33"/>
      <c r="J22" s="33"/>
    </row>
    <row r="23" spans="1:10" ht="15.5" x14ac:dyDescent="0.35">
      <c r="A23" s="143" t="s">
        <v>30</v>
      </c>
      <c r="B23" s="144"/>
      <c r="C23" s="16"/>
      <c r="D23" s="15"/>
      <c r="E23" s="124">
        <f>(H23+H69+H112)/H35</f>
        <v>0.54783228406641082</v>
      </c>
      <c r="F23" s="125"/>
      <c r="G23" s="27" t="s">
        <v>24</v>
      </c>
      <c r="H23" s="22">
        <f>SUM(H24:H28)</f>
        <v>3.4190906339547311</v>
      </c>
      <c r="I23" s="33"/>
      <c r="J23" s="33"/>
    </row>
    <row r="24" spans="1:10" ht="15.5" x14ac:dyDescent="0.35">
      <c r="A24" s="118"/>
      <c r="B24" s="119"/>
      <c r="C24" s="13"/>
      <c r="D24" s="9" t="s">
        <v>29</v>
      </c>
      <c r="E24" s="108"/>
      <c r="F24" s="109"/>
      <c r="G24" s="21" t="e">
        <f>VLOOKUP(A24,'Produce - 50051'!$C$2:$L$400, 10, FALSE)</f>
        <v>#N/A</v>
      </c>
      <c r="H24" s="10"/>
      <c r="I24" s="33"/>
      <c r="J24" s="33"/>
    </row>
    <row r="25" spans="1:10" ht="15.5" x14ac:dyDescent="0.35">
      <c r="A25" s="118" t="s">
        <v>71</v>
      </c>
      <c r="B25" s="119"/>
      <c r="C25" s="13">
        <v>24</v>
      </c>
      <c r="D25" s="9" t="s">
        <v>25</v>
      </c>
      <c r="E25" s="108"/>
      <c r="F25" s="109"/>
      <c r="G25" s="21">
        <f>VLOOKUP(A25,'Produce - 50051'!$C$2:$L$400, 10, FALSE)</f>
        <v>9.4610257896261957E-2</v>
      </c>
      <c r="H25" s="10">
        <f t="shared" ref="H25:H26" si="0">C25*G25</f>
        <v>2.2706461895102867</v>
      </c>
      <c r="I25" s="33"/>
      <c r="J25" s="33"/>
    </row>
    <row r="26" spans="1:10" ht="15.5" x14ac:dyDescent="0.35">
      <c r="A26" s="118" t="s">
        <v>67</v>
      </c>
      <c r="B26" s="119"/>
      <c r="C26" s="13">
        <v>24</v>
      </c>
      <c r="D26" s="9" t="s">
        <v>25</v>
      </c>
      <c r="E26" s="108"/>
      <c r="F26" s="109"/>
      <c r="G26" s="21">
        <f>VLOOKUP(A26,'Produce - 50051'!$C$2:$L$400, 10, FALSE)</f>
        <v>4.7851851851851854E-2</v>
      </c>
      <c r="H26" s="10">
        <f t="shared" si="0"/>
        <v>1.1484444444444444</v>
      </c>
      <c r="I26" s="33"/>
      <c r="J26" s="33"/>
    </row>
    <row r="27" spans="1:10" ht="15.5" x14ac:dyDescent="0.35">
      <c r="A27" s="118"/>
      <c r="B27" s="119"/>
      <c r="C27" s="13"/>
      <c r="D27" s="9" t="s">
        <v>25</v>
      </c>
      <c r="E27" s="108"/>
      <c r="F27" s="109"/>
      <c r="G27" s="21" t="e">
        <f>VLOOKUP(A27,'Produce - 50051'!$C$2:$L$400, 10, FALSE)</f>
        <v>#N/A</v>
      </c>
      <c r="H27" s="10"/>
      <c r="I27" s="33"/>
      <c r="J27" s="33"/>
    </row>
    <row r="28" spans="1:10" ht="15.5" x14ac:dyDescent="0.35">
      <c r="A28" s="118"/>
      <c r="B28" s="119"/>
      <c r="C28" s="13"/>
      <c r="D28" s="9" t="s">
        <v>25</v>
      </c>
      <c r="E28" s="108"/>
      <c r="F28" s="109"/>
      <c r="G28" s="21" t="e">
        <f>VLOOKUP(A28,'Produce - 50051'!$C$2:$L$400, 10, FALSE)</f>
        <v>#N/A</v>
      </c>
      <c r="H28" s="10"/>
      <c r="I28" s="33"/>
      <c r="J28" s="33"/>
    </row>
    <row r="29" spans="1:10" ht="15.5" x14ac:dyDescent="0.35">
      <c r="A29" s="114" t="s">
        <v>34</v>
      </c>
      <c r="B29" s="115"/>
      <c r="C29" s="16"/>
      <c r="D29" s="15"/>
      <c r="E29" s="122">
        <f>(H29+H75+H118)/H35</f>
        <v>0</v>
      </c>
      <c r="F29" s="123"/>
      <c r="G29" s="27" t="s">
        <v>24</v>
      </c>
      <c r="H29" s="22">
        <f>SUM(H30:H34)</f>
        <v>0</v>
      </c>
      <c r="I29" s="33"/>
      <c r="J29" s="33"/>
    </row>
    <row r="30" spans="1:10" ht="15.5" x14ac:dyDescent="0.35">
      <c r="A30" s="118" t="s">
        <v>72</v>
      </c>
      <c r="B30" s="119"/>
      <c r="C30" s="13">
        <v>24</v>
      </c>
      <c r="D30" s="9" t="s">
        <v>29</v>
      </c>
      <c r="E30" s="108"/>
      <c r="F30" s="109"/>
      <c r="G30" s="21">
        <f>VLOOKUP(A30,'Bakery - 50041'!$C$2:$J$400, 8, FALSE)</f>
        <v>0.38750000000000001</v>
      </c>
      <c r="H30" s="10"/>
      <c r="I30" s="33"/>
      <c r="J30" s="33"/>
    </row>
    <row r="31" spans="1:10" ht="15.5" x14ac:dyDescent="0.35">
      <c r="A31" s="118"/>
      <c r="B31" s="119"/>
      <c r="C31" s="13"/>
      <c r="D31" s="9" t="s">
        <v>25</v>
      </c>
      <c r="E31" s="108"/>
      <c r="F31" s="109"/>
      <c r="G31" s="21" t="e">
        <f>VLOOKUP(A31,'Bakery - 50041'!$C$2:$J$400, 8, FALSE)</f>
        <v>#N/A</v>
      </c>
      <c r="H31" s="10"/>
      <c r="I31" s="33"/>
      <c r="J31" s="33"/>
    </row>
    <row r="32" spans="1:10" ht="15.5" x14ac:dyDescent="0.35">
      <c r="A32" s="114" t="s">
        <v>35</v>
      </c>
      <c r="B32" s="115"/>
      <c r="C32" s="16"/>
      <c r="D32" s="15"/>
      <c r="E32" s="116">
        <f>(H32+H78+H121)/H35</f>
        <v>0</v>
      </c>
      <c r="F32" s="18"/>
      <c r="G32" s="27" t="s">
        <v>24</v>
      </c>
      <c r="H32" s="22">
        <f>SUM(H33:H34)</f>
        <v>0</v>
      </c>
      <c r="I32" s="33"/>
      <c r="J32" s="33"/>
    </row>
    <row r="33" spans="1:10" ht="15.5" x14ac:dyDescent="0.35">
      <c r="A33" s="118"/>
      <c r="B33" s="119"/>
      <c r="C33" s="13"/>
      <c r="D33" s="9" t="s">
        <v>25</v>
      </c>
      <c r="E33" s="108"/>
      <c r="F33" s="109"/>
      <c r="G33" s="21" t="e">
        <f>VLOOKUP(A33,'Frozen - 50061'!$C$2:$J$400, 8, FALSE)</f>
        <v>#N/A</v>
      </c>
      <c r="H33" s="10"/>
      <c r="I33" s="33"/>
      <c r="J33" s="33"/>
    </row>
    <row r="34" spans="1:10" ht="15.5" x14ac:dyDescent="0.35">
      <c r="A34" s="118"/>
      <c r="B34" s="119"/>
      <c r="C34" s="36"/>
      <c r="D34" s="37" t="s">
        <v>25</v>
      </c>
      <c r="E34" s="120"/>
      <c r="F34" s="121"/>
      <c r="G34" s="21" t="e">
        <f>VLOOKUP(A34,'Frozen - 50061'!$C$2:$J$400, 8, FALSE)</f>
        <v>#N/A</v>
      </c>
      <c r="H34" s="10"/>
      <c r="I34" s="33"/>
      <c r="J34" s="33"/>
    </row>
    <row r="35" spans="1:10" ht="16" thickBot="1" x14ac:dyDescent="0.4">
      <c r="A35" s="30" t="str">
        <f>A7</f>
        <v>Storeroom PL ()</v>
      </c>
      <c r="B35" s="40">
        <f>E7</f>
        <v>0.12578614409243646</v>
      </c>
      <c r="C35" s="31"/>
      <c r="D35" s="31"/>
      <c r="E35" s="31"/>
      <c r="F35" s="4" t="s">
        <v>37</v>
      </c>
      <c r="G35" s="4"/>
      <c r="H35" s="35">
        <f>H32+H29+H23+H20+H16+H7</f>
        <v>21.477653133954732</v>
      </c>
    </row>
    <row r="36" spans="1:10" ht="16" thickBot="1" x14ac:dyDescent="0.4">
      <c r="A36" s="38" t="str">
        <f>A16</f>
        <v>Meat PL ()</v>
      </c>
      <c r="B36" s="41">
        <f>E16</f>
        <v>0.75403955446122695</v>
      </c>
      <c r="C36" s="29"/>
      <c r="D36" s="29"/>
      <c r="E36" s="29"/>
      <c r="F36" s="4" t="s">
        <v>38</v>
      </c>
      <c r="G36" s="4"/>
      <c r="H36" s="12">
        <v>5</v>
      </c>
    </row>
    <row r="37" spans="1:10" ht="16" thickBot="1" x14ac:dyDescent="0.4">
      <c r="A37" s="39" t="str">
        <f>A20</f>
        <v>Dairy PL ()</v>
      </c>
      <c r="B37" s="42">
        <f>E20</f>
        <v>8.6767510787937652E-2</v>
      </c>
      <c r="C37" s="29"/>
      <c r="D37" s="29"/>
      <c r="E37" s="29"/>
      <c r="F37" s="4" t="s">
        <v>39</v>
      </c>
      <c r="G37" s="4"/>
      <c r="H37" s="11">
        <f>(H35/D3)+H83+H126</f>
        <v>1.8156232398048466</v>
      </c>
    </row>
    <row r="38" spans="1:10" ht="16" thickBot="1" x14ac:dyDescent="0.4">
      <c r="A38" s="39" t="str">
        <f>A23</f>
        <v>Produce PL ()</v>
      </c>
      <c r="B38" s="42">
        <f>E23</f>
        <v>0.54783228406641082</v>
      </c>
      <c r="C38" s="29"/>
      <c r="D38" s="29"/>
      <c r="E38" s="29"/>
      <c r="F38" s="23" t="s">
        <v>40</v>
      </c>
      <c r="H38" s="25">
        <f>H36-H37</f>
        <v>3.1843767601951534</v>
      </c>
    </row>
    <row r="39" spans="1:10" ht="16" thickBot="1" x14ac:dyDescent="0.4">
      <c r="A39" s="39" t="str">
        <f>A29</f>
        <v>Bakery PL ()</v>
      </c>
      <c r="B39" s="42">
        <f>E29</f>
        <v>0</v>
      </c>
      <c r="C39" s="29"/>
      <c r="D39" s="29"/>
      <c r="E39" s="29"/>
      <c r="F39" s="24" t="s">
        <v>41</v>
      </c>
      <c r="H39" s="26">
        <f>H38/H36</f>
        <v>0.63687535203903067</v>
      </c>
    </row>
    <row r="40" spans="1:10" ht="16" thickBot="1" x14ac:dyDescent="0.4">
      <c r="A40" s="39" t="str">
        <f>A32</f>
        <v>Frozen PL ()</v>
      </c>
      <c r="B40" s="42">
        <f>E32</f>
        <v>0</v>
      </c>
      <c r="C40" s="29"/>
      <c r="D40" s="29"/>
      <c r="E40" s="29"/>
      <c r="F40" s="24" t="s">
        <v>42</v>
      </c>
      <c r="H40" s="26">
        <f>(H38/H37)</f>
        <v>1.7538753031919927</v>
      </c>
    </row>
    <row r="41" spans="1:10" ht="18.5" x14ac:dyDescent="0.35">
      <c r="A41" s="89" t="s">
        <v>24</v>
      </c>
      <c r="B41" s="90">
        <f>SUM(B35:B40)</f>
        <v>1.5144254934080119</v>
      </c>
      <c r="C41" s="29"/>
      <c r="D41" s="29"/>
      <c r="E41" s="29"/>
      <c r="F41" s="29"/>
      <c r="G41" s="29"/>
      <c r="J41" s="20"/>
    </row>
    <row r="42" spans="1:10" x14ac:dyDescent="0.35">
      <c r="A42" s="29"/>
      <c r="B42" s="29"/>
      <c r="C42" s="29"/>
      <c r="D42" s="29"/>
      <c r="E42" s="29"/>
      <c r="F42" s="29"/>
      <c r="G42" s="29"/>
    </row>
    <row r="43" spans="1:10" x14ac:dyDescent="0.35">
      <c r="A43" s="130" t="s">
        <v>43</v>
      </c>
      <c r="B43" s="130"/>
      <c r="C43" s="130"/>
      <c r="D43" s="130"/>
      <c r="E43" s="130"/>
      <c r="F43" s="130"/>
      <c r="G43" s="130"/>
      <c r="H43" s="130"/>
    </row>
    <row r="44" spans="1:10" x14ac:dyDescent="0.35">
      <c r="A44" s="130"/>
      <c r="B44" s="130"/>
      <c r="C44" s="130"/>
      <c r="D44" s="130"/>
      <c r="E44" s="130"/>
      <c r="F44" s="130"/>
      <c r="G44" s="130"/>
      <c r="H44" s="130"/>
    </row>
    <row r="45" spans="1:10" x14ac:dyDescent="0.35">
      <c r="A45" s="130"/>
      <c r="B45" s="130"/>
      <c r="C45" s="130"/>
      <c r="D45" s="130"/>
      <c r="E45" s="130"/>
      <c r="F45" s="130"/>
      <c r="G45" s="130"/>
      <c r="H45" s="130"/>
    </row>
    <row r="46" spans="1:10" ht="15" thickBot="1" x14ac:dyDescent="0.4">
      <c r="A46" s="131"/>
      <c r="B46" s="131"/>
      <c r="C46" s="131"/>
      <c r="D46" s="131"/>
      <c r="E46" s="131"/>
      <c r="F46" s="131"/>
      <c r="G46" s="131"/>
      <c r="H46" s="131"/>
    </row>
    <row r="47" spans="1:10" ht="26.5" thickBot="1" x14ac:dyDescent="0.4">
      <c r="A47" s="132" t="s">
        <v>7</v>
      </c>
      <c r="B47" s="132"/>
      <c r="C47" s="132"/>
      <c r="D47" s="133" t="s">
        <v>8</v>
      </c>
      <c r="E47" s="133"/>
      <c r="F47" s="133"/>
      <c r="G47" s="133"/>
      <c r="H47" s="133"/>
    </row>
    <row r="48" spans="1:10" ht="15.5" x14ac:dyDescent="0.35">
      <c r="A48" s="4" t="s">
        <v>9</v>
      </c>
      <c r="B48" s="5" t="s">
        <v>73</v>
      </c>
      <c r="C48" s="3"/>
      <c r="D48" s="3"/>
      <c r="E48" s="95" t="s">
        <v>10</v>
      </c>
      <c r="F48" s="96"/>
      <c r="G48" s="96"/>
      <c r="H48" s="97"/>
    </row>
    <row r="49" spans="1:8" ht="16" thickBot="1" x14ac:dyDescent="0.4">
      <c r="A49" s="6" t="s">
        <v>11</v>
      </c>
      <c r="B49" s="5"/>
      <c r="C49" s="4" t="s">
        <v>12</v>
      </c>
      <c r="D49" s="7">
        <v>12</v>
      </c>
      <c r="E49" s="146" t="s">
        <v>13</v>
      </c>
      <c r="F49" s="147"/>
      <c r="G49" s="147"/>
      <c r="H49" s="148"/>
    </row>
    <row r="50" spans="1:8" ht="15.5" x14ac:dyDescent="0.35">
      <c r="A50" s="4" t="s">
        <v>14</v>
      </c>
      <c r="B50" s="34"/>
      <c r="C50" s="4" t="s">
        <v>15</v>
      </c>
      <c r="D50" s="7">
        <v>0.5</v>
      </c>
      <c r="E50" s="5" t="s">
        <v>45</v>
      </c>
      <c r="H50" s="3"/>
    </row>
    <row r="51" spans="1:8" ht="15.5" x14ac:dyDescent="0.35">
      <c r="A51" s="149" t="s">
        <v>16</v>
      </c>
      <c r="B51" s="150"/>
      <c r="C51" s="153" t="s">
        <v>17</v>
      </c>
      <c r="D51" s="154"/>
      <c r="E51" s="140" t="s">
        <v>18</v>
      </c>
      <c r="F51" s="141"/>
      <c r="G51" s="141"/>
      <c r="H51" s="142"/>
    </row>
    <row r="52" spans="1:8" ht="15.5" x14ac:dyDescent="0.35">
      <c r="A52" s="151"/>
      <c r="B52" s="152"/>
      <c r="C52" s="8" t="s">
        <v>19</v>
      </c>
      <c r="D52" s="8" t="s">
        <v>20</v>
      </c>
      <c r="E52" s="155"/>
      <c r="F52" s="156"/>
      <c r="G52" s="92" t="s">
        <v>21</v>
      </c>
      <c r="H52" s="93" t="s">
        <v>22</v>
      </c>
    </row>
    <row r="53" spans="1:8" ht="15.5" x14ac:dyDescent="0.35">
      <c r="A53" s="157" t="s">
        <v>23</v>
      </c>
      <c r="B53" s="158"/>
      <c r="C53" s="14"/>
      <c r="D53" s="15"/>
      <c r="E53" s="128">
        <f>H53/$H$81</f>
        <v>0.26860548014729807</v>
      </c>
      <c r="F53" s="129"/>
      <c r="G53" s="17" t="s">
        <v>24</v>
      </c>
      <c r="H53" s="22">
        <f>SUM(H54:H61)</f>
        <v>2.4500234374999996</v>
      </c>
    </row>
    <row r="54" spans="1:8" ht="15.5" x14ac:dyDescent="0.35">
      <c r="A54" s="118" t="s">
        <v>48</v>
      </c>
      <c r="B54" s="145"/>
      <c r="C54" s="19">
        <v>17</v>
      </c>
      <c r="D54" s="9" t="s">
        <v>25</v>
      </c>
      <c r="E54" s="126"/>
      <c r="F54" s="127"/>
      <c r="G54" s="21">
        <f>VLOOKUP(A54,'Storeroom - 50011'!$C$2:$J$400, 8, FALSE)</f>
        <v>8.9648437499999997E-2</v>
      </c>
      <c r="H54" s="10">
        <f>G54*C54</f>
        <v>1.5240234374999999</v>
      </c>
    </row>
    <row r="55" spans="1:8" ht="15.5" x14ac:dyDescent="0.35">
      <c r="A55" s="118" t="s">
        <v>74</v>
      </c>
      <c r="B55" s="145"/>
      <c r="C55" s="19">
        <v>0.25</v>
      </c>
      <c r="D55" s="9" t="s">
        <v>25</v>
      </c>
      <c r="E55" s="126"/>
      <c r="F55" s="127"/>
      <c r="G55" s="21">
        <f>VLOOKUP(A55,'Storeroom - 50011'!$C$2:$J$400, 8, FALSE)</f>
        <v>3.15E-2</v>
      </c>
      <c r="H55" s="10">
        <f t="shared" ref="H55:H57" si="1">G55*C55</f>
        <v>7.8750000000000001E-3</v>
      </c>
    </row>
    <row r="56" spans="1:8" ht="15.5" x14ac:dyDescent="0.35">
      <c r="A56" s="118" t="s">
        <v>75</v>
      </c>
      <c r="B56" s="145"/>
      <c r="C56" s="19">
        <v>3</v>
      </c>
      <c r="D56" s="9" t="s">
        <v>25</v>
      </c>
      <c r="E56" s="126"/>
      <c r="F56" s="127"/>
      <c r="G56" s="21">
        <f>VLOOKUP(A56,'Storeroom - 50011'!$C$2:$J$400, 8, FALSE)</f>
        <v>0.11145833333333333</v>
      </c>
      <c r="H56" s="10">
        <f t="shared" si="1"/>
        <v>0.33437499999999998</v>
      </c>
    </row>
    <row r="57" spans="1:8" ht="15.5" x14ac:dyDescent="0.35">
      <c r="A57" s="118" t="s">
        <v>49</v>
      </c>
      <c r="B57" s="145"/>
      <c r="C57" s="19">
        <v>1</v>
      </c>
      <c r="D57" s="9" t="s">
        <v>25</v>
      </c>
      <c r="E57" s="126"/>
      <c r="F57" s="127"/>
      <c r="G57" s="21">
        <f>VLOOKUP(A57,'Storeroom - 50011'!$C$2:$J$400, 8, FALSE)</f>
        <v>0.58374999999999999</v>
      </c>
      <c r="H57" s="10">
        <f t="shared" si="1"/>
        <v>0.58374999999999999</v>
      </c>
    </row>
    <row r="58" spans="1:8" ht="15.5" x14ac:dyDescent="0.35">
      <c r="A58" s="118"/>
      <c r="B58" s="145"/>
      <c r="C58" s="19"/>
      <c r="D58" s="9" t="s">
        <v>25</v>
      </c>
      <c r="E58" s="108"/>
      <c r="F58" s="109"/>
      <c r="G58" s="21" t="e">
        <f>VLOOKUP(A58,'Storeroom - 50011'!$C$2:$J$400, 8, FALSE)</f>
        <v>#N/A</v>
      </c>
      <c r="H58" s="10"/>
    </row>
    <row r="59" spans="1:8" ht="15.5" x14ac:dyDescent="0.35">
      <c r="A59" s="118"/>
      <c r="B59" s="145"/>
      <c r="C59" s="19"/>
      <c r="D59" s="9" t="s">
        <v>25</v>
      </c>
      <c r="E59" s="108"/>
      <c r="F59" s="109"/>
      <c r="G59" s="21" t="e">
        <f>VLOOKUP(A59,'Storeroom - 50011'!$C$2:$J$400, 8, FALSE)</f>
        <v>#N/A</v>
      </c>
      <c r="H59" s="10"/>
    </row>
    <row r="60" spans="1:8" ht="15.5" x14ac:dyDescent="0.35">
      <c r="A60" s="118"/>
      <c r="B60" s="145"/>
      <c r="C60" s="19"/>
      <c r="D60" s="9" t="s">
        <v>25</v>
      </c>
      <c r="E60" s="108"/>
      <c r="F60" s="109"/>
      <c r="G60" s="21" t="e">
        <f>VLOOKUP(A60,'Storeroom - 50011'!$C$2:$J$400, 8, FALSE)</f>
        <v>#N/A</v>
      </c>
      <c r="H60" s="10"/>
    </row>
    <row r="61" spans="1:8" ht="15.5" x14ac:dyDescent="0.35">
      <c r="A61" s="118"/>
      <c r="B61" s="145"/>
      <c r="C61" s="19"/>
      <c r="D61" s="9" t="s">
        <v>25</v>
      </c>
      <c r="E61" s="108"/>
      <c r="F61" s="109"/>
      <c r="G61" s="21" t="e">
        <f>VLOOKUP(A61,'Storeroom - 50011'!$C$2:$J$400, 8, FALSE)</f>
        <v>#N/A</v>
      </c>
      <c r="H61" s="10"/>
    </row>
    <row r="62" spans="1:8" ht="15.5" x14ac:dyDescent="0.35">
      <c r="A62" s="143" t="s">
        <v>26</v>
      </c>
      <c r="B62" s="144"/>
      <c r="C62" s="16"/>
      <c r="D62" s="15"/>
      <c r="E62" s="124">
        <f>H62/$H$81</f>
        <v>0</v>
      </c>
      <c r="F62" s="125"/>
      <c r="G62" s="27" t="s">
        <v>24</v>
      </c>
      <c r="H62" s="22">
        <f>SUM(H63:H65)</f>
        <v>0</v>
      </c>
    </row>
    <row r="63" spans="1:8" ht="15.5" x14ac:dyDescent="0.35">
      <c r="A63" s="118"/>
      <c r="B63" s="145"/>
      <c r="C63" s="13"/>
      <c r="D63" s="9" t="s">
        <v>25</v>
      </c>
      <c r="E63" s="126"/>
      <c r="F63" s="127"/>
      <c r="G63" s="21" t="e">
        <f>VLOOKUP(A63,'Meat - 50021'!$C$2:$L$400, 10, FALSE)</f>
        <v>#N/A</v>
      </c>
      <c r="H63" s="10"/>
    </row>
    <row r="64" spans="1:8" ht="15.5" x14ac:dyDescent="0.35">
      <c r="A64" s="118"/>
      <c r="B64" s="145"/>
      <c r="C64" s="13"/>
      <c r="D64" s="9" t="s">
        <v>25</v>
      </c>
      <c r="E64" s="108"/>
      <c r="F64" s="109"/>
      <c r="G64" s="21" t="e">
        <f>VLOOKUP(A64,'Meat - 50021'!$C$2:$L$400, 10, FALSE)</f>
        <v>#N/A</v>
      </c>
      <c r="H64" s="10"/>
    </row>
    <row r="65" spans="1:8" ht="15.5" x14ac:dyDescent="0.35">
      <c r="A65" s="118"/>
      <c r="B65" s="145"/>
      <c r="C65" s="13"/>
      <c r="D65" s="9" t="s">
        <v>25</v>
      </c>
      <c r="E65" s="126"/>
      <c r="F65" s="127"/>
      <c r="G65" s="21" t="e">
        <f>VLOOKUP(A65,'Meat - 50021'!$C$2:$L$400, 10, FALSE)</f>
        <v>#N/A</v>
      </c>
      <c r="H65" s="10"/>
    </row>
    <row r="66" spans="1:8" ht="15.5" x14ac:dyDescent="0.35">
      <c r="A66" s="143" t="s">
        <v>27</v>
      </c>
      <c r="B66" s="144"/>
      <c r="C66" s="16"/>
      <c r="D66" s="15"/>
      <c r="E66" s="124">
        <f>H66/$H$81</f>
        <v>0</v>
      </c>
      <c r="F66" s="125"/>
      <c r="G66" s="27" t="s">
        <v>24</v>
      </c>
      <c r="H66" s="22">
        <f>SUM(H67:H68)</f>
        <v>0</v>
      </c>
    </row>
    <row r="67" spans="1:8" ht="15.5" x14ac:dyDescent="0.35">
      <c r="A67" s="118"/>
      <c r="B67" s="145"/>
      <c r="C67" s="13"/>
      <c r="D67" s="9" t="s">
        <v>25</v>
      </c>
      <c r="E67" s="126"/>
      <c r="F67" s="127"/>
      <c r="G67" s="21" t="e">
        <f>VLOOKUP(A67,'Dairy - 50031'!$C$2:$J$400,8, FALSE)</f>
        <v>#N/A</v>
      </c>
      <c r="H67" s="10"/>
    </row>
    <row r="68" spans="1:8" ht="15.5" x14ac:dyDescent="0.35">
      <c r="A68" s="118"/>
      <c r="B68" s="145"/>
      <c r="C68" s="13"/>
      <c r="D68" s="9" t="s">
        <v>25</v>
      </c>
      <c r="E68" s="126"/>
      <c r="F68" s="127"/>
      <c r="G68" s="21" t="e">
        <f>VLOOKUP(A68,'Dairy - 50031'!$C$2:$J$400,8, FALSE)</f>
        <v>#N/A</v>
      </c>
      <c r="H68" s="10"/>
    </row>
    <row r="69" spans="1:8" ht="15.5" x14ac:dyDescent="0.35">
      <c r="A69" s="143" t="s">
        <v>30</v>
      </c>
      <c r="B69" s="144"/>
      <c r="C69" s="16"/>
      <c r="D69" s="15"/>
      <c r="E69" s="124">
        <f>H69/H81</f>
        <v>0.7313945198527021</v>
      </c>
      <c r="F69" s="125"/>
      <c r="G69" s="27" t="s">
        <v>24</v>
      </c>
      <c r="H69" s="22">
        <f>SUM(H70:H74)</f>
        <v>6.6712477895667543</v>
      </c>
    </row>
    <row r="70" spans="1:8" ht="15.5" x14ac:dyDescent="0.35">
      <c r="A70" s="118" t="s">
        <v>76</v>
      </c>
      <c r="B70" s="119"/>
      <c r="C70" s="13">
        <v>0.25</v>
      </c>
      <c r="D70" s="9" t="s">
        <v>25</v>
      </c>
      <c r="E70" s="108"/>
      <c r="F70" s="109"/>
      <c r="G70" s="21">
        <f>VLOOKUP(A70,'Produce - 50051'!$C$2:$L$400, 10, FALSE)</f>
        <v>2.5576923076923079</v>
      </c>
      <c r="H70" s="10">
        <f>G70*C70</f>
        <v>0.63942307692307698</v>
      </c>
    </row>
    <row r="71" spans="1:8" ht="15.5" x14ac:dyDescent="0.35">
      <c r="A71" s="118" t="s">
        <v>55</v>
      </c>
      <c r="B71" s="119"/>
      <c r="C71" s="13">
        <v>2.2000000000000002</v>
      </c>
      <c r="D71" s="9" t="s">
        <v>25</v>
      </c>
      <c r="E71" s="108"/>
      <c r="F71" s="109"/>
      <c r="G71" s="21">
        <f>VLOOKUP(A71,'Produce - 50051'!$C$2:$L$400, 10, FALSE)</f>
        <v>2.2791666666666663</v>
      </c>
      <c r="H71" s="10">
        <f t="shared" ref="H71:H72" si="2">G71*C71</f>
        <v>5.0141666666666662</v>
      </c>
    </row>
    <row r="72" spans="1:8" ht="15.5" x14ac:dyDescent="0.35">
      <c r="A72" s="118" t="s">
        <v>56</v>
      </c>
      <c r="B72" s="119"/>
      <c r="C72" s="13">
        <v>4.7</v>
      </c>
      <c r="D72" s="9" t="s">
        <v>25</v>
      </c>
      <c r="E72" s="108"/>
      <c r="F72" s="109"/>
      <c r="G72" s="21">
        <f>VLOOKUP(A72,'Produce - 50051'!$C$2:$L$400, 10, FALSE)</f>
        <v>0.21652298850574714</v>
      </c>
      <c r="H72" s="10">
        <f t="shared" si="2"/>
        <v>1.0176580459770115</v>
      </c>
    </row>
    <row r="73" spans="1:8" ht="15.5" x14ac:dyDescent="0.35">
      <c r="A73" s="118"/>
      <c r="B73" s="119"/>
      <c r="C73" s="13"/>
      <c r="D73" s="9" t="s">
        <v>25</v>
      </c>
      <c r="E73" s="108"/>
      <c r="F73" s="109"/>
      <c r="G73" s="21" t="e">
        <f>VLOOKUP(A73,'Produce - 50051'!$C$2:$L$400, 10, FALSE)</f>
        <v>#N/A</v>
      </c>
      <c r="H73" s="10"/>
    </row>
    <row r="74" spans="1:8" ht="15.5" x14ac:dyDescent="0.35">
      <c r="A74" s="118"/>
      <c r="B74" s="119"/>
      <c r="C74" s="13"/>
      <c r="D74" s="9" t="s">
        <v>25</v>
      </c>
      <c r="E74" s="108"/>
      <c r="F74" s="109"/>
      <c r="G74" s="21" t="e">
        <f>VLOOKUP(A74,'Produce - 50051'!$C$2:$L$400, 10, FALSE)</f>
        <v>#N/A</v>
      </c>
      <c r="H74" s="10"/>
    </row>
    <row r="75" spans="1:8" ht="15.5" x14ac:dyDescent="0.35">
      <c r="A75" s="114" t="s">
        <v>34</v>
      </c>
      <c r="B75" s="115"/>
      <c r="C75" s="16"/>
      <c r="D75" s="15"/>
      <c r="E75" s="122">
        <f>H75/$H$81</f>
        <v>0</v>
      </c>
      <c r="F75" s="123"/>
      <c r="G75" s="27" t="s">
        <v>24</v>
      </c>
      <c r="H75" s="22">
        <f>SUM(H76:H80)</f>
        <v>0</v>
      </c>
    </row>
    <row r="76" spans="1:8" ht="15.5" x14ac:dyDescent="0.35">
      <c r="A76" s="118"/>
      <c r="B76" s="119"/>
      <c r="C76" s="13"/>
      <c r="D76" s="9" t="s">
        <v>29</v>
      </c>
      <c r="E76" s="108"/>
      <c r="F76" s="109"/>
      <c r="G76" s="21" t="e">
        <f>VLOOKUP(A76,'Bakery - 50041'!$C$2:$J$400, 8, FALSE)</f>
        <v>#N/A</v>
      </c>
      <c r="H76" s="10"/>
    </row>
    <row r="77" spans="1:8" ht="15.5" x14ac:dyDescent="0.35">
      <c r="A77" s="118"/>
      <c r="B77" s="119"/>
      <c r="C77" s="13"/>
      <c r="D77" s="9" t="s">
        <v>25</v>
      </c>
      <c r="E77" s="108"/>
      <c r="F77" s="109"/>
      <c r="G77" s="21" t="e">
        <f>VLOOKUP(A77,'Bakery - 50041'!$C$2:$J$400, 8, FALSE)</f>
        <v>#N/A</v>
      </c>
      <c r="H77" s="10"/>
    </row>
    <row r="78" spans="1:8" ht="15.5" x14ac:dyDescent="0.35">
      <c r="A78" s="114" t="s">
        <v>35</v>
      </c>
      <c r="B78" s="115"/>
      <c r="C78" s="16"/>
      <c r="D78" s="15"/>
      <c r="E78" s="116">
        <f>H78/$H$81</f>
        <v>0</v>
      </c>
      <c r="F78" s="18"/>
      <c r="G78" s="27" t="s">
        <v>24</v>
      </c>
      <c r="H78" s="22">
        <f>SUM(H79:H80)</f>
        <v>0</v>
      </c>
    </row>
    <row r="79" spans="1:8" ht="15.5" x14ac:dyDescent="0.35">
      <c r="A79" s="118"/>
      <c r="B79" s="119"/>
      <c r="C79" s="13"/>
      <c r="D79" s="9" t="s">
        <v>25</v>
      </c>
      <c r="E79" s="108"/>
      <c r="F79" s="109"/>
      <c r="G79" s="21" t="e">
        <f>VLOOKUP(A79,'Frozen - 50061'!$C$2:$J$400, 8, FALSE)</f>
        <v>#N/A</v>
      </c>
      <c r="H79" s="10"/>
    </row>
    <row r="80" spans="1:8" ht="15.5" x14ac:dyDescent="0.35">
      <c r="A80" s="118"/>
      <c r="B80" s="119"/>
      <c r="C80" s="36"/>
      <c r="D80" s="37" t="s">
        <v>25</v>
      </c>
      <c r="E80" s="120"/>
      <c r="F80" s="121"/>
      <c r="G80" s="21" t="e">
        <f>VLOOKUP(A80,'Frozen - 50061'!$C$2:$J$400, 8, FALSE)</f>
        <v>#N/A</v>
      </c>
      <c r="H80" s="10"/>
    </row>
    <row r="81" spans="1:8" ht="16" thickBot="1" x14ac:dyDescent="0.4">
      <c r="A81" s="30"/>
      <c r="B81" s="40"/>
      <c r="C81" s="31"/>
      <c r="D81" s="31"/>
      <c r="E81" s="31"/>
      <c r="F81" s="4" t="s">
        <v>37</v>
      </c>
      <c r="G81" s="4"/>
      <c r="H81" s="35">
        <f>H78+H75+H69+H66+H62+H53</f>
        <v>9.1212712270667531</v>
      </c>
    </row>
    <row r="82" spans="1:8" ht="16" thickBot="1" x14ac:dyDescent="0.4">
      <c r="A82" s="38"/>
      <c r="B82" s="41"/>
      <c r="C82" s="29"/>
      <c r="D82" s="29"/>
      <c r="E82" s="29"/>
      <c r="F82" s="4" t="s">
        <v>38</v>
      </c>
      <c r="G82" s="4"/>
      <c r="H82" s="12"/>
    </row>
    <row r="83" spans="1:8" ht="16" thickBot="1" x14ac:dyDescent="0.4">
      <c r="A83" s="39"/>
      <c r="B83" s="42"/>
      <c r="C83" s="29"/>
      <c r="D83" s="29"/>
      <c r="E83" s="29"/>
      <c r="F83" s="4" t="s">
        <v>39</v>
      </c>
      <c r="G83" s="4"/>
      <c r="H83" s="11">
        <f>H81/D49</f>
        <v>0.76010593558889605</v>
      </c>
    </row>
    <row r="84" spans="1:8" ht="16" thickBot="1" x14ac:dyDescent="0.4">
      <c r="A84" s="39"/>
      <c r="B84" s="42"/>
      <c r="C84" s="29"/>
      <c r="D84" s="29"/>
      <c r="E84" s="29"/>
      <c r="F84" s="23" t="s">
        <v>40</v>
      </c>
      <c r="H84" s="25">
        <f>H82-H83</f>
        <v>-0.76010593558889605</v>
      </c>
    </row>
    <row r="85" spans="1:8" ht="16" thickBot="1" x14ac:dyDescent="0.4">
      <c r="A85" s="39"/>
      <c r="B85" s="42"/>
      <c r="C85" s="29"/>
      <c r="D85" s="29"/>
      <c r="E85" s="29"/>
      <c r="F85" s="24" t="s">
        <v>41</v>
      </c>
      <c r="H85" s="88" t="e">
        <f>H84/H82</f>
        <v>#DIV/0!</v>
      </c>
    </row>
    <row r="86" spans="1:8" ht="18" customHeight="1" x14ac:dyDescent="0.35">
      <c r="A86" s="130" t="s">
        <v>52</v>
      </c>
      <c r="B86" s="130"/>
      <c r="C86" s="130"/>
      <c r="D86" s="130"/>
      <c r="E86" s="130"/>
      <c r="F86" s="130"/>
      <c r="G86" s="130"/>
      <c r="H86" s="130"/>
    </row>
    <row r="87" spans="1:8" ht="15" customHeight="1" x14ac:dyDescent="0.35">
      <c r="A87" s="130"/>
      <c r="B87" s="130"/>
      <c r="C87" s="130"/>
      <c r="D87" s="130"/>
      <c r="E87" s="130"/>
      <c r="F87" s="130"/>
      <c r="G87" s="130"/>
      <c r="H87" s="130"/>
    </row>
    <row r="88" spans="1:8" ht="15" customHeight="1" x14ac:dyDescent="0.35">
      <c r="A88" s="130"/>
      <c r="B88" s="130"/>
      <c r="C88" s="130"/>
      <c r="D88" s="130"/>
      <c r="E88" s="130"/>
      <c r="F88" s="130"/>
      <c r="G88" s="130"/>
      <c r="H88" s="130"/>
    </row>
    <row r="89" spans="1:8" ht="15" customHeight="1" thickBot="1" x14ac:dyDescent="0.4">
      <c r="A89" s="131"/>
      <c r="B89" s="131"/>
      <c r="C89" s="131"/>
      <c r="D89" s="131"/>
      <c r="E89" s="131"/>
      <c r="F89" s="131"/>
      <c r="G89" s="131"/>
      <c r="H89" s="131"/>
    </row>
    <row r="90" spans="1:8" ht="26.5" thickBot="1" x14ac:dyDescent="0.4">
      <c r="A90" s="132" t="s">
        <v>7</v>
      </c>
      <c r="B90" s="132"/>
      <c r="C90" s="132"/>
      <c r="D90" s="133" t="s">
        <v>8</v>
      </c>
      <c r="E90" s="133"/>
      <c r="F90" s="133"/>
      <c r="G90" s="133"/>
      <c r="H90" s="133"/>
    </row>
    <row r="91" spans="1:8" ht="15.5" x14ac:dyDescent="0.35">
      <c r="A91" s="4" t="s">
        <v>9</v>
      </c>
      <c r="B91" s="5" t="s">
        <v>77</v>
      </c>
      <c r="C91" s="3"/>
      <c r="D91" s="3"/>
      <c r="E91" s="95" t="s">
        <v>10</v>
      </c>
      <c r="F91" s="96"/>
      <c r="G91" s="96"/>
      <c r="H91" s="97"/>
    </row>
    <row r="92" spans="1:8" ht="16" thickBot="1" x14ac:dyDescent="0.4">
      <c r="A92" s="6" t="s">
        <v>11</v>
      </c>
      <c r="B92" s="5"/>
      <c r="C92" s="4" t="s">
        <v>12</v>
      </c>
      <c r="D92" s="7">
        <v>12</v>
      </c>
      <c r="E92" s="94" t="s">
        <v>13</v>
      </c>
      <c r="F92" s="110"/>
      <c r="G92" s="110"/>
      <c r="H92" s="111"/>
    </row>
    <row r="93" spans="1:8" ht="15.5" x14ac:dyDescent="0.35">
      <c r="A93" s="4" t="s">
        <v>14</v>
      </c>
      <c r="B93" s="34"/>
      <c r="C93" s="4" t="s">
        <v>15</v>
      </c>
      <c r="D93" s="7">
        <v>0.5</v>
      </c>
      <c r="E93" s="5" t="s">
        <v>45</v>
      </c>
      <c r="H93" s="3"/>
    </row>
    <row r="94" spans="1:8" ht="15.5" x14ac:dyDescent="0.35">
      <c r="A94" s="134" t="s">
        <v>16</v>
      </c>
      <c r="B94" s="135"/>
      <c r="C94" s="138" t="s">
        <v>17</v>
      </c>
      <c r="D94" s="139"/>
      <c r="E94" s="140" t="s">
        <v>18</v>
      </c>
      <c r="F94" s="141"/>
      <c r="G94" s="141"/>
      <c r="H94" s="142"/>
    </row>
    <row r="95" spans="1:8" ht="15.5" x14ac:dyDescent="0.35">
      <c r="A95" s="136"/>
      <c r="B95" s="137"/>
      <c r="C95" s="8" t="s">
        <v>19</v>
      </c>
      <c r="D95" s="8" t="s">
        <v>20</v>
      </c>
      <c r="E95" s="112"/>
      <c r="F95" s="113"/>
      <c r="G95" s="28" t="s">
        <v>21</v>
      </c>
      <c r="H95" s="91" t="s">
        <v>22</v>
      </c>
    </row>
    <row r="96" spans="1:8" ht="15.5" x14ac:dyDescent="0.35">
      <c r="A96" s="105" t="s">
        <v>23</v>
      </c>
      <c r="B96" s="106"/>
      <c r="C96" s="14"/>
      <c r="D96" s="15"/>
      <c r="E96" s="128">
        <f>H96/$H$124</f>
        <v>0.13052308986206518</v>
      </c>
      <c r="F96" s="129"/>
      <c r="G96" s="17" t="s">
        <v>24</v>
      </c>
      <c r="H96" s="22">
        <f>SUM(H97:H104)</f>
        <v>0.25156773437500002</v>
      </c>
    </row>
    <row r="97" spans="1:8" ht="15.5" x14ac:dyDescent="0.35">
      <c r="A97" s="118" t="s">
        <v>48</v>
      </c>
      <c r="B97" s="119"/>
      <c r="C97" s="19">
        <v>0.25</v>
      </c>
      <c r="D97" s="9" t="s">
        <v>25</v>
      </c>
      <c r="E97" s="126"/>
      <c r="F97" s="127"/>
      <c r="G97" s="21">
        <f>VLOOKUP(A97,'Storeroom - 50011'!$C$2:$J$400, 8, FALSE)</f>
        <v>8.9648437499999997E-2</v>
      </c>
      <c r="H97" s="10">
        <f>G97*C97</f>
        <v>2.2412109374999999E-2</v>
      </c>
    </row>
    <row r="98" spans="1:8" ht="15.5" x14ac:dyDescent="0.35">
      <c r="A98" s="118" t="s">
        <v>78</v>
      </c>
      <c r="B98" s="119"/>
      <c r="C98" s="19">
        <v>2</v>
      </c>
      <c r="D98" s="9" t="s">
        <v>25</v>
      </c>
      <c r="E98" s="126"/>
      <c r="F98" s="127"/>
      <c r="G98" s="21">
        <f>VLOOKUP(A98,'Storeroom - 50011'!$C$2:$J$400, 8, FALSE)</f>
        <v>4.8632812499999997E-2</v>
      </c>
      <c r="H98" s="10">
        <f t="shared" ref="H98:H100" si="3">G98*C98</f>
        <v>9.7265624999999994E-2</v>
      </c>
    </row>
    <row r="99" spans="1:8" ht="15.5" x14ac:dyDescent="0.35">
      <c r="A99" s="118" t="s">
        <v>49</v>
      </c>
      <c r="B99" s="119"/>
      <c r="C99" s="19">
        <v>0.22</v>
      </c>
      <c r="D99" s="9" t="s">
        <v>25</v>
      </c>
      <c r="E99" s="126"/>
      <c r="F99" s="127"/>
      <c r="G99" s="21">
        <f>VLOOKUP(A99,'Storeroom - 50011'!$C$2:$J$400, 8, FALSE)</f>
        <v>0.58374999999999999</v>
      </c>
      <c r="H99" s="10">
        <f t="shared" si="3"/>
        <v>0.12842500000000001</v>
      </c>
    </row>
    <row r="100" spans="1:8" ht="15.5" x14ac:dyDescent="0.35">
      <c r="A100" s="118" t="s">
        <v>74</v>
      </c>
      <c r="B100" s="119"/>
      <c r="C100" s="19">
        <v>0.11</v>
      </c>
      <c r="D100" s="9" t="s">
        <v>25</v>
      </c>
      <c r="E100" s="126"/>
      <c r="F100" s="127"/>
      <c r="G100" s="21">
        <f>VLOOKUP(A100,'Storeroom - 50011'!$C$2:$J$400, 8, FALSE)</f>
        <v>3.15E-2</v>
      </c>
      <c r="H100" s="10">
        <f t="shared" si="3"/>
        <v>3.4650000000000002E-3</v>
      </c>
    </row>
    <row r="101" spans="1:8" ht="15.5" x14ac:dyDescent="0.35">
      <c r="A101" s="118"/>
      <c r="B101" s="119"/>
      <c r="C101" s="19"/>
      <c r="D101" s="9" t="s">
        <v>25</v>
      </c>
      <c r="E101" s="108"/>
      <c r="F101" s="109"/>
      <c r="G101" s="21" t="e">
        <f>VLOOKUP(A101,'Storeroom - 50011'!$C$2:$J$400, 8, FALSE)</f>
        <v>#N/A</v>
      </c>
      <c r="H101" s="10"/>
    </row>
    <row r="102" spans="1:8" ht="15.5" x14ac:dyDescent="0.35">
      <c r="A102" s="118"/>
      <c r="B102" s="119"/>
      <c r="C102" s="19"/>
      <c r="D102" s="9" t="s">
        <v>25</v>
      </c>
      <c r="E102" s="108"/>
      <c r="F102" s="109"/>
      <c r="G102" s="21" t="e">
        <f>VLOOKUP(A102,'Storeroom - 50011'!$C$2:$J$400, 8, FALSE)</f>
        <v>#N/A</v>
      </c>
      <c r="H102" s="10"/>
    </row>
    <row r="103" spans="1:8" ht="15.5" x14ac:dyDescent="0.35">
      <c r="A103" s="118"/>
      <c r="B103" s="119"/>
      <c r="C103" s="19"/>
      <c r="D103" s="9" t="s">
        <v>25</v>
      </c>
      <c r="E103" s="108"/>
      <c r="F103" s="109"/>
      <c r="G103" s="21" t="e">
        <f>VLOOKUP(A103,'Storeroom - 50011'!$C$2:$J$400, 8, FALSE)</f>
        <v>#N/A</v>
      </c>
      <c r="H103" s="10"/>
    </row>
    <row r="104" spans="1:8" ht="15.5" x14ac:dyDescent="0.35">
      <c r="A104" s="118"/>
      <c r="B104" s="119"/>
      <c r="C104" s="19"/>
      <c r="D104" s="9" t="s">
        <v>25</v>
      </c>
      <c r="E104" s="108"/>
      <c r="F104" s="109"/>
      <c r="G104" s="21" t="e">
        <f>VLOOKUP(A104,'Storeroom - 50011'!$C$2:$J$400, 8, FALSE)</f>
        <v>#N/A</v>
      </c>
      <c r="H104" s="10"/>
    </row>
    <row r="105" spans="1:8" ht="15.5" x14ac:dyDescent="0.35">
      <c r="A105" s="114" t="s">
        <v>26</v>
      </c>
      <c r="B105" s="115"/>
      <c r="C105" s="16"/>
      <c r="D105" s="15"/>
      <c r="E105" s="124">
        <f>H105/$H$124</f>
        <v>0</v>
      </c>
      <c r="F105" s="125"/>
      <c r="G105" s="27" t="s">
        <v>24</v>
      </c>
      <c r="H105" s="22">
        <f>SUM(H106:H108)</f>
        <v>0</v>
      </c>
    </row>
    <row r="106" spans="1:8" ht="15.5" x14ac:dyDescent="0.35">
      <c r="A106" s="118"/>
      <c r="B106" s="119"/>
      <c r="C106" s="13"/>
      <c r="D106" s="9" t="s">
        <v>25</v>
      </c>
      <c r="E106" s="126"/>
      <c r="F106" s="127"/>
      <c r="G106" s="21" t="e">
        <f>VLOOKUP(A106,'Meat - 50021'!$C$2:$L$400, 10, FALSE)</f>
        <v>#N/A</v>
      </c>
      <c r="H106" s="10"/>
    </row>
    <row r="107" spans="1:8" ht="15.5" x14ac:dyDescent="0.35">
      <c r="A107" s="118"/>
      <c r="B107" s="119"/>
      <c r="C107" s="13"/>
      <c r="D107" s="9" t="s">
        <v>25</v>
      </c>
      <c r="E107" s="108"/>
      <c r="F107" s="109"/>
      <c r="G107" s="21" t="e">
        <f>VLOOKUP(A107,'Meat - 50021'!$C$2:$L$400, 10, FALSE)</f>
        <v>#N/A</v>
      </c>
      <c r="H107" s="10"/>
    </row>
    <row r="108" spans="1:8" ht="15.5" x14ac:dyDescent="0.35">
      <c r="A108" s="118"/>
      <c r="B108" s="119"/>
      <c r="C108" s="13"/>
      <c r="D108" s="9" t="s">
        <v>25</v>
      </c>
      <c r="E108" s="126"/>
      <c r="F108" s="127"/>
      <c r="G108" s="21" t="e">
        <f>VLOOKUP(A108,'Meat - 50021'!$C$2:$L$400, 10, FALSE)</f>
        <v>#N/A</v>
      </c>
      <c r="H108" s="10"/>
    </row>
    <row r="109" spans="1:8" ht="15.5" x14ac:dyDescent="0.35">
      <c r="A109" s="114" t="s">
        <v>27</v>
      </c>
      <c r="B109" s="115"/>
      <c r="C109" s="16"/>
      <c r="D109" s="15"/>
      <c r="E109" s="124">
        <f>H109/$H$124</f>
        <v>0</v>
      </c>
      <c r="F109" s="125"/>
      <c r="G109" s="27" t="s">
        <v>24</v>
      </c>
      <c r="H109" s="22">
        <f>SUM(H110:H111)</f>
        <v>0</v>
      </c>
    </row>
    <row r="110" spans="1:8" ht="15.5" x14ac:dyDescent="0.35">
      <c r="A110" s="118"/>
      <c r="B110" s="119"/>
      <c r="C110" s="13"/>
      <c r="D110" s="9" t="s">
        <v>25</v>
      </c>
      <c r="E110" s="126"/>
      <c r="F110" s="127"/>
      <c r="G110" s="21" t="e">
        <f>VLOOKUP(A110,'Dairy - 50031'!$C$2:$J$400,8, FALSE)</f>
        <v>#N/A</v>
      </c>
      <c r="H110" s="10"/>
    </row>
    <row r="111" spans="1:8" ht="15.5" x14ac:dyDescent="0.35">
      <c r="A111" s="118"/>
      <c r="B111" s="119"/>
      <c r="C111" s="13"/>
      <c r="D111" s="9" t="s">
        <v>25</v>
      </c>
      <c r="E111" s="126"/>
      <c r="F111" s="127"/>
      <c r="G111" s="21" t="e">
        <f>VLOOKUP(A111,'Dairy - 50031'!$C$2:$J$400,8, FALSE)</f>
        <v>#N/A</v>
      </c>
      <c r="H111" s="10"/>
    </row>
    <row r="112" spans="1:8" ht="15.5" x14ac:dyDescent="0.35">
      <c r="A112" s="114" t="s">
        <v>30</v>
      </c>
      <c r="B112" s="115"/>
      <c r="C112" s="16"/>
      <c r="D112" s="15"/>
      <c r="E112" s="124">
        <f>H112/$H$124</f>
        <v>0.86947691013793482</v>
      </c>
      <c r="F112" s="125"/>
      <c r="G112" s="27" t="s">
        <v>24</v>
      </c>
      <c r="H112" s="22">
        <f>SUM(H113:H117)</f>
        <v>1.675813349239041</v>
      </c>
    </row>
    <row r="113" spans="1:8" ht="15.5" x14ac:dyDescent="0.35">
      <c r="A113" s="118" t="s">
        <v>79</v>
      </c>
      <c r="B113" s="119"/>
      <c r="C113" s="13">
        <v>18</v>
      </c>
      <c r="D113" s="9" t="s">
        <v>25</v>
      </c>
      <c r="E113" s="108"/>
      <c r="F113" s="109"/>
      <c r="G113" s="21">
        <f>VLOOKUP(A113,'Produce - 50051'!$C$2:$L$400, 10, FALSE)</f>
        <v>3.3820224719101122E-2</v>
      </c>
      <c r="H113" s="10">
        <f>G113*C113</f>
        <v>0.60876404494382019</v>
      </c>
    </row>
    <row r="114" spans="1:8" ht="15.5" x14ac:dyDescent="0.35">
      <c r="A114" s="118" t="s">
        <v>56</v>
      </c>
      <c r="B114" s="119"/>
      <c r="C114" s="13">
        <v>1</v>
      </c>
      <c r="D114" s="9" t="s">
        <v>25</v>
      </c>
      <c r="E114" s="108"/>
      <c r="F114" s="109"/>
      <c r="G114" s="21">
        <f>VLOOKUP(A114,'Produce - 50051'!$C$2:$L$400, 10, FALSE)</f>
        <v>0.21652298850574714</v>
      </c>
      <c r="H114" s="10">
        <f t="shared" ref="H114:H115" si="4">G114*C114</f>
        <v>0.21652298850574714</v>
      </c>
    </row>
    <row r="115" spans="1:8" ht="15.5" x14ac:dyDescent="0.35">
      <c r="A115" s="118" t="s">
        <v>80</v>
      </c>
      <c r="B115" s="119"/>
      <c r="C115" s="13">
        <v>0.8</v>
      </c>
      <c r="D115" s="9" t="s">
        <v>25</v>
      </c>
      <c r="E115" s="108"/>
      <c r="F115" s="109"/>
      <c r="G115" s="21">
        <f>VLOOKUP(A115,'Produce - 50051'!$C$2:$L$400, 10, FALSE)</f>
        <v>1.0631578947368421</v>
      </c>
      <c r="H115" s="10">
        <f t="shared" si="4"/>
        <v>0.85052631578947369</v>
      </c>
    </row>
    <row r="116" spans="1:8" ht="15.5" x14ac:dyDescent="0.35">
      <c r="A116" s="118"/>
      <c r="B116" s="119"/>
      <c r="C116" s="13"/>
      <c r="D116" s="9" t="s">
        <v>25</v>
      </c>
      <c r="E116" s="108"/>
      <c r="F116" s="109"/>
      <c r="G116" s="21" t="e">
        <f>VLOOKUP(A116,'Produce - 50051'!$C$2:$L$400, 10, FALSE)</f>
        <v>#N/A</v>
      </c>
      <c r="H116" s="10"/>
    </row>
    <row r="117" spans="1:8" ht="15.5" x14ac:dyDescent="0.35">
      <c r="A117" s="118"/>
      <c r="B117" s="119"/>
      <c r="C117" s="13"/>
      <c r="D117" s="9" t="s">
        <v>25</v>
      </c>
      <c r="E117" s="108"/>
      <c r="F117" s="109"/>
      <c r="G117" s="21" t="e">
        <f>VLOOKUP(A117,'Produce - 50051'!$C$2:$L$400, 10, FALSE)</f>
        <v>#N/A</v>
      </c>
      <c r="H117" s="10"/>
    </row>
    <row r="118" spans="1:8" ht="15.5" x14ac:dyDescent="0.35">
      <c r="A118" s="114" t="s">
        <v>34</v>
      </c>
      <c r="B118" s="115"/>
      <c r="C118" s="16"/>
      <c r="D118" s="15"/>
      <c r="E118" s="122">
        <f>H118/$H$124</f>
        <v>0</v>
      </c>
      <c r="F118" s="123"/>
      <c r="G118" s="27" t="s">
        <v>24</v>
      </c>
      <c r="H118" s="22">
        <f>SUM(H119:H123)</f>
        <v>0</v>
      </c>
    </row>
    <row r="119" spans="1:8" ht="15.5" x14ac:dyDescent="0.35">
      <c r="A119" s="118"/>
      <c r="B119" s="119"/>
      <c r="C119" s="13"/>
      <c r="D119" s="9" t="s">
        <v>29</v>
      </c>
      <c r="E119" s="108"/>
      <c r="F119" s="109"/>
      <c r="G119" s="21" t="e">
        <f>VLOOKUP(A119,'Bakery - 50041'!$C$2:$J$400, 8, FALSE)</f>
        <v>#N/A</v>
      </c>
      <c r="H119" s="10"/>
    </row>
    <row r="120" spans="1:8" ht="15.5" x14ac:dyDescent="0.35">
      <c r="A120" s="118"/>
      <c r="B120" s="119"/>
      <c r="C120" s="13"/>
      <c r="D120" s="9" t="s">
        <v>25</v>
      </c>
      <c r="E120" s="108"/>
      <c r="F120" s="109"/>
      <c r="G120" s="21" t="e">
        <f>VLOOKUP(A120,'Bakery - 50041'!$C$2:$J$400, 8, FALSE)</f>
        <v>#N/A</v>
      </c>
      <c r="H120" s="10"/>
    </row>
    <row r="121" spans="1:8" ht="15.5" x14ac:dyDescent="0.35">
      <c r="A121" s="114" t="s">
        <v>35</v>
      </c>
      <c r="B121" s="115"/>
      <c r="C121" s="16"/>
      <c r="D121" s="15"/>
      <c r="E121" s="116">
        <f>H121/$H$124</f>
        <v>0</v>
      </c>
      <c r="F121" s="18"/>
      <c r="G121" s="27" t="s">
        <v>24</v>
      </c>
      <c r="H121" s="22">
        <f>SUM(H122:H123)</f>
        <v>0</v>
      </c>
    </row>
    <row r="122" spans="1:8" ht="15.5" x14ac:dyDescent="0.35">
      <c r="A122" s="118"/>
      <c r="B122" s="119"/>
      <c r="C122" s="13"/>
      <c r="D122" s="9" t="s">
        <v>25</v>
      </c>
      <c r="E122" s="108"/>
      <c r="F122" s="109"/>
      <c r="G122" s="21" t="e">
        <f>VLOOKUP(A122,'Frozen - 50061'!$C$2:$J$400, 8, FALSE)</f>
        <v>#N/A</v>
      </c>
      <c r="H122" s="10"/>
    </row>
    <row r="123" spans="1:8" ht="15.5" x14ac:dyDescent="0.35">
      <c r="A123" s="118"/>
      <c r="B123" s="119"/>
      <c r="C123" s="36"/>
      <c r="D123" s="37" t="s">
        <v>25</v>
      </c>
      <c r="E123" s="120"/>
      <c r="F123" s="121"/>
      <c r="G123" s="21" t="e">
        <f>VLOOKUP(A123,'Frozen - 50061'!$C$2:$J$400, 8, FALSE)</f>
        <v>#N/A</v>
      </c>
      <c r="H123" s="10"/>
    </row>
    <row r="124" spans="1:8" ht="16" thickBot="1" x14ac:dyDescent="0.4">
      <c r="A124" s="30"/>
      <c r="B124" s="40"/>
      <c r="C124" s="31"/>
      <c r="D124" s="31"/>
      <c r="E124" s="31"/>
      <c r="F124" s="4" t="s">
        <v>37</v>
      </c>
      <c r="G124" s="4"/>
      <c r="H124" s="35">
        <f>H121+H118+H112+H109+H105+H96</f>
        <v>1.927381083614041</v>
      </c>
    </row>
    <row r="125" spans="1:8" ht="16" thickBot="1" x14ac:dyDescent="0.4">
      <c r="A125" s="38"/>
      <c r="B125" s="41"/>
      <c r="C125" s="29"/>
      <c r="D125" s="29"/>
      <c r="E125" s="29"/>
      <c r="F125" s="4" t="s">
        <v>38</v>
      </c>
      <c r="G125" s="4"/>
      <c r="H125" s="12"/>
    </row>
    <row r="126" spans="1:8" ht="16" thickBot="1" x14ac:dyDescent="0.4">
      <c r="A126" s="39"/>
      <c r="B126" s="42"/>
      <c r="C126" s="29"/>
      <c r="D126" s="29"/>
      <c r="E126" s="29"/>
      <c r="F126" s="4" t="s">
        <v>39</v>
      </c>
      <c r="G126" s="4"/>
      <c r="H126" s="11">
        <f>H124/D92</f>
        <v>0.16061509030117008</v>
      </c>
    </row>
    <row r="127" spans="1:8" ht="16" thickBot="1" x14ac:dyDescent="0.4">
      <c r="A127" s="39"/>
      <c r="B127" s="42"/>
      <c r="C127" s="29"/>
      <c r="D127" s="29"/>
      <c r="E127" s="29"/>
      <c r="F127" s="23" t="s">
        <v>40</v>
      </c>
      <c r="H127" s="25">
        <f>H125-H126</f>
        <v>-0.16061509030117008</v>
      </c>
    </row>
    <row r="128" spans="1:8" ht="16" thickBot="1" x14ac:dyDescent="0.4">
      <c r="A128" s="39"/>
      <c r="B128" s="42"/>
      <c r="C128" s="29"/>
      <c r="D128" s="29"/>
      <c r="E128" s="29"/>
      <c r="F128" s="24" t="s">
        <v>41</v>
      </c>
      <c r="H128" s="26" t="e">
        <f>H127/H125</f>
        <v>#DIV/0!</v>
      </c>
    </row>
  </sheetData>
  <mergeCells count="137">
    <mergeCell ref="A7:B7"/>
    <mergeCell ref="E7:F7"/>
    <mergeCell ref="A8:B8"/>
    <mergeCell ref="E8:F8"/>
    <mergeCell ref="A9:B9"/>
    <mergeCell ref="E9:F9"/>
    <mergeCell ref="A1:C1"/>
    <mergeCell ref="D1:H1"/>
    <mergeCell ref="E3:H3"/>
    <mergeCell ref="A5:B6"/>
    <mergeCell ref="C5:D5"/>
    <mergeCell ref="E5:H5"/>
    <mergeCell ref="E6:F6"/>
    <mergeCell ref="A14:B14"/>
    <mergeCell ref="A15:B15"/>
    <mergeCell ref="A16:B16"/>
    <mergeCell ref="E16:F16"/>
    <mergeCell ref="A17:B17"/>
    <mergeCell ref="E17:F17"/>
    <mergeCell ref="A10:B10"/>
    <mergeCell ref="E10:F10"/>
    <mergeCell ref="A11:B11"/>
    <mergeCell ref="E11:F11"/>
    <mergeCell ref="A12:B12"/>
    <mergeCell ref="A13:B13"/>
    <mergeCell ref="A22:B22"/>
    <mergeCell ref="E22:F22"/>
    <mergeCell ref="A23:B23"/>
    <mergeCell ref="E23:F23"/>
    <mergeCell ref="A24:B24"/>
    <mergeCell ref="A25:B25"/>
    <mergeCell ref="A18:B18"/>
    <mergeCell ref="A19:B19"/>
    <mergeCell ref="E19:F19"/>
    <mergeCell ref="A20:B20"/>
    <mergeCell ref="E20:F20"/>
    <mergeCell ref="A21:B21"/>
    <mergeCell ref="E21:F21"/>
    <mergeCell ref="A33:B33"/>
    <mergeCell ref="A34:B34"/>
    <mergeCell ref="E34:F34"/>
    <mergeCell ref="A43:H46"/>
    <mergeCell ref="A47:C47"/>
    <mergeCell ref="D47:H47"/>
    <mergeCell ref="A26:B26"/>
    <mergeCell ref="A27:B27"/>
    <mergeCell ref="A28:B28"/>
    <mergeCell ref="E29:F29"/>
    <mergeCell ref="A30:B30"/>
    <mergeCell ref="A31:B31"/>
    <mergeCell ref="A54:B54"/>
    <mergeCell ref="E54:F54"/>
    <mergeCell ref="A55:B55"/>
    <mergeCell ref="E55:F55"/>
    <mergeCell ref="A56:B56"/>
    <mergeCell ref="E56:F56"/>
    <mergeCell ref="E49:H49"/>
    <mergeCell ref="A51:B52"/>
    <mergeCell ref="C51:D51"/>
    <mergeCell ref="E51:H51"/>
    <mergeCell ref="E52:F52"/>
    <mergeCell ref="A53:B53"/>
    <mergeCell ref="E53:F53"/>
    <mergeCell ref="A62:B62"/>
    <mergeCell ref="E62:F62"/>
    <mergeCell ref="A63:B63"/>
    <mergeCell ref="E63:F63"/>
    <mergeCell ref="A64:B64"/>
    <mergeCell ref="A65:B65"/>
    <mergeCell ref="E65:F65"/>
    <mergeCell ref="A57:B57"/>
    <mergeCell ref="E57:F57"/>
    <mergeCell ref="A58:B58"/>
    <mergeCell ref="A59:B59"/>
    <mergeCell ref="A60:B60"/>
    <mergeCell ref="A61:B61"/>
    <mergeCell ref="A69:B69"/>
    <mergeCell ref="E69:F69"/>
    <mergeCell ref="A70:B70"/>
    <mergeCell ref="A71:B71"/>
    <mergeCell ref="A72:B72"/>
    <mergeCell ref="A73:B73"/>
    <mergeCell ref="A66:B66"/>
    <mergeCell ref="E66:F66"/>
    <mergeCell ref="A67:B67"/>
    <mergeCell ref="E67:F67"/>
    <mergeCell ref="A68:B68"/>
    <mergeCell ref="E68:F68"/>
    <mergeCell ref="A86:H89"/>
    <mergeCell ref="A90:C90"/>
    <mergeCell ref="D90:H90"/>
    <mergeCell ref="A94:B95"/>
    <mergeCell ref="C94:D94"/>
    <mergeCell ref="E94:H94"/>
    <mergeCell ref="A74:B74"/>
    <mergeCell ref="E75:F75"/>
    <mergeCell ref="A76:B76"/>
    <mergeCell ref="A77:B77"/>
    <mergeCell ref="A79:B79"/>
    <mergeCell ref="A80:B80"/>
    <mergeCell ref="E80:F80"/>
    <mergeCell ref="A100:B100"/>
    <mergeCell ref="E100:F100"/>
    <mergeCell ref="A101:B101"/>
    <mergeCell ref="A102:B102"/>
    <mergeCell ref="A103:B103"/>
    <mergeCell ref="A104:B104"/>
    <mergeCell ref="E96:F96"/>
    <mergeCell ref="A97:B97"/>
    <mergeCell ref="E97:F97"/>
    <mergeCell ref="A98:B98"/>
    <mergeCell ref="E98:F98"/>
    <mergeCell ref="A99:B99"/>
    <mergeCell ref="E99:F99"/>
    <mergeCell ref="E109:F109"/>
    <mergeCell ref="A110:B110"/>
    <mergeCell ref="E110:F110"/>
    <mergeCell ref="A111:B111"/>
    <mergeCell ref="E111:F111"/>
    <mergeCell ref="E112:F112"/>
    <mergeCell ref="E105:F105"/>
    <mergeCell ref="A106:B106"/>
    <mergeCell ref="E106:F106"/>
    <mergeCell ref="A107:B107"/>
    <mergeCell ref="A108:B108"/>
    <mergeCell ref="E108:F108"/>
    <mergeCell ref="A119:B119"/>
    <mergeCell ref="A120:B120"/>
    <mergeCell ref="A122:B122"/>
    <mergeCell ref="A123:B123"/>
    <mergeCell ref="E123:F123"/>
    <mergeCell ref="A113:B113"/>
    <mergeCell ref="A114:B114"/>
    <mergeCell ref="A115:B115"/>
    <mergeCell ref="A116:B116"/>
    <mergeCell ref="A117:B117"/>
    <mergeCell ref="E118:F118"/>
  </mergeCells>
  <hyperlinks>
    <hyperlink ref="E3" r:id="rId1" xr:uid="{873D1018-48CB-44A8-A64F-37DBF6F6092D}"/>
    <hyperlink ref="E49" r:id="rId2" xr:uid="{AB21368E-620A-4585-B729-A0F33CF1132D}"/>
    <hyperlink ref="E92" r:id="rId3" xr:uid="{B7E04F49-9FA8-4FDA-8AFC-850C99603865}"/>
    <hyperlink ref="D1" r:id="rId4" xr:uid="{4C5D82CB-1E68-49EC-ACD3-FDD756E7CFDA}"/>
    <hyperlink ref="D47" r:id="rId5" xr:uid="{ED42E27D-0637-4DE5-B163-8B92475C1719}"/>
    <hyperlink ref="D90" r:id="rId6" xr:uid="{D86F9804-562B-4F74-B727-6AEA3841AC6F}"/>
  </hyperlinks>
  <pageMargins left="0.7" right="0.7" top="0.75" bottom="0.75" header="0.3" footer="0.3"/>
  <pageSetup orientation="portrait" r:id="rId7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6505F2D-4136-4E09-AD60-61904DF0FD16}">
          <x14:formula1>
            <xm:f>'Meat - 50021'!$C$2:$C$96</xm:f>
          </x14:formula1>
          <xm:sqref>A18:B19</xm:sqref>
        </x14:dataValidation>
        <x14:dataValidation type="list" allowBlank="1" showInputMessage="1" showErrorMessage="1" xr:uid="{4F42DB4D-CC41-45E9-89F3-F40017AFCC81}">
          <x14:formula1>
            <xm:f>'Bakery - 50041'!$C$2:$C$400</xm:f>
          </x14:formula1>
          <xm:sqref>A30:B31 A76:B77 A119:B120</xm:sqref>
        </x14:dataValidation>
        <x14:dataValidation type="list" allowBlank="1" showInputMessage="1" showErrorMessage="1" errorTitle="Item" xr:uid="{E7DC8A76-362C-4971-B4E0-A49D74A5F916}">
          <x14:formula1>
            <xm:f>'Storeroom - 50011'!$C$2:$C$309</xm:f>
          </x14:formula1>
          <xm:sqref>A8:B15</xm:sqref>
        </x14:dataValidation>
        <x14:dataValidation type="list" allowBlank="1" showInputMessage="1" showErrorMessage="1" xr:uid="{6E00CF23-8F35-45CD-9A1E-ED25ABC23DF6}">
          <x14:formula1>
            <xm:f>'Meat - 50021'!$C$2:$C$110</xm:f>
          </x14:formula1>
          <xm:sqref>A17:B17</xm:sqref>
        </x14:dataValidation>
        <x14:dataValidation type="list" allowBlank="1" showInputMessage="1" showErrorMessage="1" xr:uid="{A899C6DF-32F8-478A-BA52-3DEB94C36460}">
          <x14:formula1>
            <xm:f>'Dairy - 50031'!$C$2:$C$100</xm:f>
          </x14:formula1>
          <xm:sqref>A21:B22</xm:sqref>
        </x14:dataValidation>
        <x14:dataValidation type="list" allowBlank="1" showInputMessage="1" showErrorMessage="1" xr:uid="{98486AE6-013D-43B4-BEC5-1AFBA1F2084A}">
          <x14:formula1>
            <xm:f>'Produce - 50051'!$C$2:$C$400</xm:f>
          </x14:formula1>
          <xm:sqref>A24:B28 A70:B74 A113:B117</xm:sqref>
        </x14:dataValidation>
        <x14:dataValidation type="list" allowBlank="1" showInputMessage="1" showErrorMessage="1" xr:uid="{00C3E405-5725-4E80-A827-52C1B54A427F}">
          <x14:formula1>
            <xm:f>'Frozen - 50061'!$C$2:$C$400</xm:f>
          </x14:formula1>
          <xm:sqref>A33:B34 A79:B80 A122:B123</xm:sqref>
        </x14:dataValidation>
        <x14:dataValidation type="list" allowBlank="1" showInputMessage="1" showErrorMessage="1" errorTitle="Item" xr:uid="{D180AE53-0566-436D-AD46-F05BE41660C0}">
          <x14:formula1>
            <xm:f>'Storeroom - 50011'!$C$2:$C$400</xm:f>
          </x14:formula1>
          <xm:sqref>A54:B61 A97:B104</xm:sqref>
        </x14:dataValidation>
        <x14:dataValidation type="list" allowBlank="1" showInputMessage="1" showErrorMessage="1" xr:uid="{20BEE73F-EA3F-4F04-A508-110733162856}">
          <x14:formula1>
            <xm:f>'Meat - 50021'!$C$2:$C$400</xm:f>
          </x14:formula1>
          <xm:sqref>A63:B65 A106:B108</xm:sqref>
        </x14:dataValidation>
        <x14:dataValidation type="list" allowBlank="1" showInputMessage="1" showErrorMessage="1" xr:uid="{1D0FCCA5-404F-4A84-A239-9FB9EE553441}">
          <x14:formula1>
            <xm:f>'Dairy - 50031'!$C$2:$C$400</xm:f>
          </x14:formula1>
          <xm:sqref>A67:B68 A110:B111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58169-EC1C-4FAE-BA2D-8659149D7F9F}">
  <sheetPr codeName="Sheet8"/>
  <dimension ref="A1:J129"/>
  <sheetViews>
    <sheetView workbookViewId="0">
      <selection activeCell="C18" sqref="C18"/>
    </sheetView>
  </sheetViews>
  <sheetFormatPr defaultColWidth="8.7265625" defaultRowHeight="14.5" x14ac:dyDescent="0.35"/>
  <cols>
    <col min="1" max="1" width="18.1796875" style="54" customWidth="1"/>
    <col min="2" max="2" width="16.453125" style="54" customWidth="1"/>
    <col min="3" max="3" width="13.453125" style="54" customWidth="1"/>
    <col min="4" max="4" width="12.453125" style="54" customWidth="1"/>
    <col min="5" max="5" width="6" style="54" customWidth="1"/>
    <col min="6" max="6" width="1.26953125" style="54" customWidth="1"/>
    <col min="7" max="7" width="8.7265625" style="54"/>
    <col min="8" max="8" width="12" style="54" customWidth="1"/>
    <col min="9" max="9" width="8.7265625" style="54"/>
    <col min="10" max="10" width="13.26953125" style="54" customWidth="1"/>
    <col min="11" max="16384" width="8.7265625" style="54"/>
  </cols>
  <sheetData>
    <row r="1" spans="1:10" ht="25.5" customHeight="1" thickBot="1" x14ac:dyDescent="0.4">
      <c r="A1" s="159" t="s">
        <v>7</v>
      </c>
      <c r="B1" s="159"/>
      <c r="C1" s="159"/>
      <c r="D1" s="160" t="s">
        <v>8</v>
      </c>
      <c r="E1" s="160"/>
      <c r="F1" s="160"/>
      <c r="G1" s="160"/>
      <c r="H1" s="160"/>
    </row>
    <row r="2" spans="1:10" ht="15.5" x14ac:dyDescent="0.35">
      <c r="A2" s="4" t="s">
        <v>9</v>
      </c>
      <c r="B2" s="5" t="s">
        <v>81</v>
      </c>
      <c r="C2" s="3"/>
      <c r="D2" s="3"/>
      <c r="E2" s="95" t="s">
        <v>10</v>
      </c>
      <c r="F2" s="96"/>
      <c r="G2" s="96"/>
      <c r="H2" s="97"/>
    </row>
    <row r="3" spans="1:10" ht="16" thickBot="1" x14ac:dyDescent="0.4">
      <c r="A3" s="6" t="s">
        <v>11</v>
      </c>
      <c r="B3" s="5"/>
      <c r="C3" s="4" t="s">
        <v>12</v>
      </c>
      <c r="D3" s="7">
        <v>24</v>
      </c>
      <c r="E3" s="146" t="s">
        <v>13</v>
      </c>
      <c r="F3" s="147"/>
      <c r="G3" s="147"/>
      <c r="H3" s="148"/>
      <c r="I3" s="3"/>
    </row>
    <row r="4" spans="1:10" ht="15.5" x14ac:dyDescent="0.35">
      <c r="A4" s="4" t="s">
        <v>14</v>
      </c>
      <c r="B4" s="34"/>
      <c r="C4" s="4" t="s">
        <v>15</v>
      </c>
      <c r="D4" s="7">
        <v>1</v>
      </c>
      <c r="E4" s="5" t="s">
        <v>2</v>
      </c>
      <c r="H4" s="3"/>
      <c r="I4" s="3"/>
      <c r="J4" s="3"/>
    </row>
    <row r="5" spans="1:10" ht="15.5" x14ac:dyDescent="0.35">
      <c r="A5" s="149" t="s">
        <v>16</v>
      </c>
      <c r="B5" s="150"/>
      <c r="C5" s="153" t="s">
        <v>17</v>
      </c>
      <c r="D5" s="154"/>
      <c r="E5" s="140" t="s">
        <v>18</v>
      </c>
      <c r="F5" s="141"/>
      <c r="G5" s="141"/>
      <c r="H5" s="142"/>
      <c r="I5" s="3"/>
      <c r="J5" s="3"/>
    </row>
    <row r="6" spans="1:10" ht="15.5" x14ac:dyDescent="0.35">
      <c r="A6" s="151"/>
      <c r="B6" s="152"/>
      <c r="C6" s="8" t="s">
        <v>19</v>
      </c>
      <c r="D6" s="8" t="s">
        <v>20</v>
      </c>
      <c r="E6" s="155"/>
      <c r="F6" s="156"/>
      <c r="G6" s="92" t="s">
        <v>21</v>
      </c>
      <c r="H6" s="93" t="s">
        <v>22</v>
      </c>
      <c r="I6" s="32"/>
      <c r="J6" s="32"/>
    </row>
    <row r="7" spans="1:10" ht="15.5" x14ac:dyDescent="0.35">
      <c r="A7" s="157" t="s">
        <v>23</v>
      </c>
      <c r="B7" s="158"/>
      <c r="C7" s="14"/>
      <c r="D7" s="15"/>
      <c r="E7" s="128">
        <f>(H7+H97+H54)/H36</f>
        <v>0.12167785449517882</v>
      </c>
      <c r="F7" s="129"/>
      <c r="G7" s="17" t="s">
        <v>24</v>
      </c>
      <c r="H7" s="22">
        <f>SUM(H8:H15)</f>
        <v>0.77033403087797625</v>
      </c>
      <c r="I7" s="33"/>
      <c r="J7" s="33"/>
    </row>
    <row r="8" spans="1:10" ht="15.5" x14ac:dyDescent="0.35">
      <c r="A8" s="118" t="s">
        <v>82</v>
      </c>
      <c r="B8" s="145"/>
      <c r="C8" s="19">
        <v>1.25</v>
      </c>
      <c r="D8" s="9" t="s">
        <v>25</v>
      </c>
      <c r="E8" s="126"/>
      <c r="F8" s="127"/>
      <c r="G8" s="21">
        <f>VLOOKUP(A8,'Storeroom - 50011'!$C$2:$J$400, 8, FALSE)</f>
        <v>0.11845238095238095</v>
      </c>
      <c r="H8" s="10">
        <f>C8*G8</f>
        <v>0.14806547619047619</v>
      </c>
      <c r="I8" s="33"/>
      <c r="J8" s="33"/>
    </row>
    <row r="9" spans="1:10" ht="15.5" x14ac:dyDescent="0.35">
      <c r="A9" s="118" t="s">
        <v>83</v>
      </c>
      <c r="B9" s="145"/>
      <c r="C9" s="19">
        <v>2.75</v>
      </c>
      <c r="D9" s="9" t="s">
        <v>25</v>
      </c>
      <c r="E9" s="126"/>
      <c r="F9" s="127"/>
      <c r="G9" s="21">
        <f>VLOOKUP(A9,'Storeroom - 50011'!$C$2:$J$400, 8, FALSE)</f>
        <v>6.4394531249999998E-2</v>
      </c>
      <c r="H9" s="10">
        <f t="shared" ref="H9:H29" si="0">C9*G9</f>
        <v>0.17708496093749998</v>
      </c>
      <c r="I9" s="33"/>
      <c r="J9" s="33"/>
    </row>
    <row r="10" spans="1:10" ht="15.5" x14ac:dyDescent="0.35">
      <c r="A10" s="118" t="s">
        <v>84</v>
      </c>
      <c r="B10" s="145"/>
      <c r="C10" s="19">
        <v>2.5000000000000001E-2</v>
      </c>
      <c r="D10" s="9" t="s">
        <v>25</v>
      </c>
      <c r="E10" s="126"/>
      <c r="F10" s="127"/>
      <c r="G10" s="21">
        <f>VLOOKUP(A10,'Storeroom - 50011'!$C$2:$J$400, 8, FALSE)</f>
        <v>0.77500000000000002</v>
      </c>
      <c r="H10" s="10">
        <f t="shared" si="0"/>
        <v>1.9375000000000003E-2</v>
      </c>
      <c r="I10" s="33"/>
      <c r="J10" s="33"/>
    </row>
    <row r="11" spans="1:10" ht="15.5" x14ac:dyDescent="0.35">
      <c r="A11" s="118" t="s">
        <v>48</v>
      </c>
      <c r="B11" s="145"/>
      <c r="C11" s="19">
        <v>0.5</v>
      </c>
      <c r="D11" s="9" t="s">
        <v>25</v>
      </c>
      <c r="E11" s="126"/>
      <c r="F11" s="127"/>
      <c r="G11" s="21">
        <f>VLOOKUP(A11,'Storeroom - 50011'!$C$2:$J$400, 8, FALSE)</f>
        <v>8.9648437499999997E-2</v>
      </c>
      <c r="H11" s="10">
        <f t="shared" si="0"/>
        <v>4.4824218749999999E-2</v>
      </c>
      <c r="I11" s="33"/>
      <c r="J11" s="33"/>
    </row>
    <row r="12" spans="1:10" ht="15.5" x14ac:dyDescent="0.35">
      <c r="A12" s="118" t="s">
        <v>85</v>
      </c>
      <c r="B12" s="145"/>
      <c r="C12" s="19">
        <v>8.5</v>
      </c>
      <c r="D12" s="9" t="s">
        <v>25</v>
      </c>
      <c r="E12" s="108"/>
      <c r="F12" s="109"/>
      <c r="G12" s="21">
        <f>VLOOKUP(A12,'Storeroom - 50011'!$C$2:$J$400, 8, FALSE)</f>
        <v>4.296875E-2</v>
      </c>
      <c r="H12" s="10">
        <f t="shared" si="0"/>
        <v>0.365234375</v>
      </c>
      <c r="I12" s="33"/>
      <c r="J12" s="33"/>
    </row>
    <row r="13" spans="1:10" ht="15.5" x14ac:dyDescent="0.35">
      <c r="A13" s="118" t="s">
        <v>74</v>
      </c>
      <c r="B13" s="145"/>
      <c r="C13" s="19">
        <v>0.5</v>
      </c>
      <c r="D13" s="9" t="s">
        <v>25</v>
      </c>
      <c r="E13" s="108"/>
      <c r="F13" s="109"/>
      <c r="G13" s="21">
        <f>VLOOKUP(A13,'Storeroom - 50011'!$C$2:$J$400, 8, FALSE)</f>
        <v>3.15E-2</v>
      </c>
      <c r="H13" s="10">
        <f t="shared" si="0"/>
        <v>1.575E-2</v>
      </c>
      <c r="I13" s="33"/>
      <c r="J13" s="33"/>
    </row>
    <row r="14" spans="1:10" ht="15.5" x14ac:dyDescent="0.35">
      <c r="A14" s="118"/>
      <c r="B14" s="145"/>
      <c r="C14" s="19"/>
      <c r="D14" s="9" t="s">
        <v>25</v>
      </c>
      <c r="E14" s="108"/>
      <c r="F14" s="109"/>
      <c r="G14" s="21" t="e">
        <f>VLOOKUP(A14,'Storeroom - 50011'!$C$2:$J$400, 8, FALSE)</f>
        <v>#N/A</v>
      </c>
      <c r="H14" s="10"/>
      <c r="I14" s="33"/>
      <c r="J14" s="33"/>
    </row>
    <row r="15" spans="1:10" ht="15.5" x14ac:dyDescent="0.35">
      <c r="A15" s="118"/>
      <c r="B15" s="145"/>
      <c r="C15" s="19"/>
      <c r="D15" s="9" t="s">
        <v>25</v>
      </c>
      <c r="E15" s="108"/>
      <c r="F15" s="109"/>
      <c r="G15" s="21" t="e">
        <f>VLOOKUP(A15,'Storeroom - 50011'!$C$2:$J$400, 8, FALSE)</f>
        <v>#N/A</v>
      </c>
      <c r="H15" s="10"/>
      <c r="I15" s="33"/>
      <c r="J15" s="33"/>
    </row>
    <row r="16" spans="1:10" ht="15.5" x14ac:dyDescent="0.35">
      <c r="A16" s="143" t="s">
        <v>26</v>
      </c>
      <c r="B16" s="144"/>
      <c r="C16" s="16"/>
      <c r="D16" s="15"/>
      <c r="E16" s="124">
        <f>(H16+H63+H106)/H36</f>
        <v>0.1183944932182027</v>
      </c>
      <c r="F16" s="125"/>
      <c r="G16" s="27" t="s">
        <v>24</v>
      </c>
      <c r="H16" s="22">
        <f>SUM(H17:H19)</f>
        <v>0</v>
      </c>
      <c r="I16" s="33"/>
      <c r="J16" s="33"/>
    </row>
    <row r="17" spans="1:10" ht="15.5" x14ac:dyDescent="0.35">
      <c r="A17" s="118"/>
      <c r="B17" s="145"/>
      <c r="C17" s="13"/>
      <c r="D17" s="9" t="s">
        <v>25</v>
      </c>
      <c r="E17" s="126"/>
      <c r="F17" s="127"/>
      <c r="G17" s="21" t="e">
        <f>VLOOKUP(A17,'Meat - 50021'!$C$2:$L$400, 10, FALSE)</f>
        <v>#N/A</v>
      </c>
      <c r="H17" s="10"/>
      <c r="I17" s="33"/>
      <c r="J17" s="33"/>
    </row>
    <row r="18" spans="1:10" ht="15.5" x14ac:dyDescent="0.35">
      <c r="A18" s="118"/>
      <c r="B18" s="145"/>
      <c r="C18" s="13"/>
      <c r="D18" s="9" t="s">
        <v>25</v>
      </c>
      <c r="E18" s="108"/>
      <c r="F18" s="109"/>
      <c r="G18" s="21" t="e">
        <f>VLOOKUP(A18,'Meat - 50021'!$C$2:$L$400, 10, FALSE)</f>
        <v>#N/A</v>
      </c>
      <c r="H18" s="10"/>
      <c r="I18" s="33"/>
      <c r="J18" s="33"/>
    </row>
    <row r="19" spans="1:10" ht="15.5" x14ac:dyDescent="0.35">
      <c r="A19" s="118"/>
      <c r="B19" s="145"/>
      <c r="C19" s="13"/>
      <c r="D19" s="9" t="s">
        <v>25</v>
      </c>
      <c r="E19" s="126"/>
      <c r="F19" s="127"/>
      <c r="G19" s="21" t="e">
        <f>VLOOKUP(A19,'Meat - 50021'!$C$2:$L$400, 10, FALSE)</f>
        <v>#N/A</v>
      </c>
      <c r="H19" s="10"/>
      <c r="I19" s="33"/>
      <c r="J19" s="33"/>
    </row>
    <row r="20" spans="1:10" ht="15.5" x14ac:dyDescent="0.35">
      <c r="A20" s="143" t="s">
        <v>27</v>
      </c>
      <c r="B20" s="144"/>
      <c r="C20" s="16"/>
      <c r="D20" s="15"/>
      <c r="E20" s="124">
        <f>(H20+H67+H110)/H36</f>
        <v>3.0547809192393072E-2</v>
      </c>
      <c r="F20" s="125"/>
      <c r="G20" s="27" t="s">
        <v>24</v>
      </c>
      <c r="H20" s="22">
        <f>SUM(H21:H22)</f>
        <v>0</v>
      </c>
      <c r="I20" s="33"/>
      <c r="J20" s="33"/>
    </row>
    <row r="21" spans="1:10" ht="15.5" x14ac:dyDescent="0.35">
      <c r="A21" s="118"/>
      <c r="B21" s="145"/>
      <c r="C21" s="13"/>
      <c r="D21" s="9" t="s">
        <v>25</v>
      </c>
      <c r="E21" s="126"/>
      <c r="F21" s="127"/>
      <c r="G21" s="21" t="e">
        <f>VLOOKUP(A21,'Dairy - 50031'!$C$2:$J$400,8, FALSE)</f>
        <v>#N/A</v>
      </c>
      <c r="H21" s="10"/>
      <c r="I21" s="33"/>
      <c r="J21" s="33"/>
    </row>
    <row r="22" spans="1:10" ht="15.5" x14ac:dyDescent="0.35">
      <c r="A22" s="118"/>
      <c r="B22" s="145"/>
      <c r="C22" s="13"/>
      <c r="D22" s="9" t="s">
        <v>29</v>
      </c>
      <c r="E22" s="126"/>
      <c r="F22" s="127"/>
      <c r="G22" s="21" t="e">
        <f>VLOOKUP(A22,'Dairy - 50031'!$C$2:$J$400,8, FALSE)</f>
        <v>#N/A</v>
      </c>
      <c r="H22" s="10"/>
      <c r="I22" s="33"/>
      <c r="J22" s="33"/>
    </row>
    <row r="23" spans="1:10" ht="15.5" x14ac:dyDescent="0.35">
      <c r="A23" s="143" t="s">
        <v>30</v>
      </c>
      <c r="B23" s="144"/>
      <c r="C23" s="16"/>
      <c r="D23" s="15"/>
      <c r="E23" s="124">
        <f>(H23+H70+H113)/H36</f>
        <v>0.8957511014763232</v>
      </c>
      <c r="F23" s="125"/>
      <c r="G23" s="27" t="s">
        <v>24</v>
      </c>
      <c r="H23" s="22">
        <f>SUM(H24:H29)</f>
        <v>6.6190393033929835</v>
      </c>
      <c r="I23" s="33"/>
      <c r="J23" s="33"/>
    </row>
    <row r="24" spans="1:10" ht="15.5" x14ac:dyDescent="0.35">
      <c r="A24" s="118" t="s">
        <v>86</v>
      </c>
      <c r="B24" s="119"/>
      <c r="C24" s="13">
        <v>5.25</v>
      </c>
      <c r="D24" s="9" t="s">
        <v>25</v>
      </c>
      <c r="E24" s="108"/>
      <c r="F24" s="109"/>
      <c r="G24" s="21">
        <f>VLOOKUP(A24,'Produce - 50051'!$C$2:$L$400, 10, FALSE)</f>
        <v>5.4437500000000007E-2</v>
      </c>
      <c r="H24" s="10">
        <f t="shared" si="0"/>
        <v>0.28579687500000006</v>
      </c>
      <c r="I24" s="33"/>
      <c r="J24" s="33"/>
    </row>
    <row r="25" spans="1:10" ht="15.5" x14ac:dyDescent="0.35">
      <c r="A25" s="118" t="s">
        <v>87</v>
      </c>
      <c r="B25" s="119"/>
      <c r="C25" s="13">
        <v>0.625</v>
      </c>
      <c r="D25" s="9" t="s">
        <v>25</v>
      </c>
      <c r="E25" s="108"/>
      <c r="F25" s="109"/>
      <c r="G25" s="21">
        <f>VLOOKUP(A25,'Produce - 50051'!$C$2:$L$400, 10, FALSE)</f>
        <v>0.158203125</v>
      </c>
      <c r="H25" s="10">
        <f t="shared" si="0"/>
        <v>9.8876953125E-2</v>
      </c>
      <c r="I25" s="33"/>
      <c r="J25" s="33"/>
    </row>
    <row r="26" spans="1:10" ht="15.5" x14ac:dyDescent="0.35">
      <c r="A26" s="118" t="s">
        <v>68</v>
      </c>
      <c r="B26" s="119"/>
      <c r="C26" s="13">
        <v>1.25</v>
      </c>
      <c r="D26" s="9" t="s">
        <v>25</v>
      </c>
      <c r="E26" s="108"/>
      <c r="F26" s="109"/>
      <c r="G26" s="21">
        <f>VLOOKUP(A26,'Produce - 50051'!$C$2:$L$400, 10, FALSE)</f>
        <v>5.7331460674157307E-2</v>
      </c>
      <c r="H26" s="10">
        <f t="shared" si="0"/>
        <v>7.1664325842696636E-2</v>
      </c>
      <c r="I26" s="33"/>
      <c r="J26" s="33"/>
    </row>
    <row r="27" spans="1:10" ht="15.5" x14ac:dyDescent="0.35">
      <c r="A27" s="107" t="s">
        <v>88</v>
      </c>
      <c r="B27" s="117"/>
      <c r="C27" s="13">
        <v>1</v>
      </c>
      <c r="D27" s="9" t="s">
        <v>29</v>
      </c>
      <c r="E27" s="108"/>
      <c r="F27" s="109"/>
      <c r="G27" s="21">
        <f>VLOOKUP(A27,'Produce - 50051'!$C$2:$L$400, 10, FALSE)</f>
        <v>5.7233333333333327</v>
      </c>
      <c r="H27" s="10">
        <f t="shared" si="0"/>
        <v>5.7233333333333327</v>
      </c>
      <c r="I27" s="33"/>
      <c r="J27" s="33"/>
    </row>
    <row r="28" spans="1:10" ht="15.5" x14ac:dyDescent="0.35">
      <c r="A28" s="118" t="s">
        <v>89</v>
      </c>
      <c r="B28" s="119"/>
      <c r="C28" s="13">
        <v>2.75</v>
      </c>
      <c r="D28" s="9" t="s">
        <v>25</v>
      </c>
      <c r="E28" s="108"/>
      <c r="F28" s="109"/>
      <c r="G28" s="21">
        <f>VLOOKUP(A28,'Produce - 50051'!$C$2:$L$400, 10, FALSE)</f>
        <v>0.14008620689655174</v>
      </c>
      <c r="H28" s="10">
        <f t="shared" si="0"/>
        <v>0.38523706896551729</v>
      </c>
      <c r="I28" s="33"/>
      <c r="J28" s="33"/>
    </row>
    <row r="29" spans="1:10" ht="15.5" x14ac:dyDescent="0.35">
      <c r="A29" s="118" t="s">
        <v>56</v>
      </c>
      <c r="B29" s="119"/>
      <c r="C29" s="13">
        <v>0.25</v>
      </c>
      <c r="D29" s="9" t="s">
        <v>25</v>
      </c>
      <c r="E29" s="108"/>
      <c r="F29" s="109"/>
      <c r="G29" s="21">
        <f>VLOOKUP(A29,'Produce - 50051'!$C$2:$L$400, 10, FALSE)</f>
        <v>0.21652298850574714</v>
      </c>
      <c r="H29" s="10">
        <f t="shared" si="0"/>
        <v>5.4130747126436785E-2</v>
      </c>
      <c r="I29" s="33"/>
      <c r="J29" s="33"/>
    </row>
    <row r="30" spans="1:10" ht="15.5" x14ac:dyDescent="0.35">
      <c r="A30" s="114" t="s">
        <v>34</v>
      </c>
      <c r="B30" s="115"/>
      <c r="C30" s="16"/>
      <c r="D30" s="15"/>
      <c r="E30" s="122">
        <f>(H30+H76+H119)/H36</f>
        <v>8.0972134749010508E-2</v>
      </c>
      <c r="F30" s="123"/>
      <c r="G30" s="27" t="s">
        <v>24</v>
      </c>
      <c r="H30" s="22">
        <f>SUM(H31:H35)</f>
        <v>0</v>
      </c>
      <c r="I30" s="33"/>
      <c r="J30" s="33"/>
    </row>
    <row r="31" spans="1:10" ht="15.5" x14ac:dyDescent="0.35">
      <c r="A31" s="118"/>
      <c r="B31" s="119"/>
      <c r="C31" s="13"/>
      <c r="D31" s="9" t="s">
        <v>29</v>
      </c>
      <c r="E31" s="108"/>
      <c r="F31" s="109"/>
      <c r="G31" s="21" t="e">
        <f>VLOOKUP(A31,'Bakery - 50041'!$C$2:$J$400, 8, FALSE)</f>
        <v>#N/A</v>
      </c>
      <c r="H31" s="10"/>
      <c r="I31" s="33"/>
      <c r="J31" s="33"/>
    </row>
    <row r="32" spans="1:10" ht="15.5" x14ac:dyDescent="0.35">
      <c r="A32" s="118"/>
      <c r="B32" s="119"/>
      <c r="C32" s="13"/>
      <c r="D32" s="9" t="s">
        <v>25</v>
      </c>
      <c r="E32" s="108"/>
      <c r="F32" s="109"/>
      <c r="G32" s="21" t="e">
        <f>VLOOKUP(A32,'Bakery - 50041'!$C$2:$J$400, 8, FALSE)</f>
        <v>#N/A</v>
      </c>
      <c r="H32" s="10"/>
      <c r="I32" s="33"/>
      <c r="J32" s="33"/>
    </row>
    <row r="33" spans="1:10" ht="15.5" x14ac:dyDescent="0.35">
      <c r="A33" s="114" t="s">
        <v>35</v>
      </c>
      <c r="B33" s="115"/>
      <c r="C33" s="16"/>
      <c r="D33" s="15"/>
      <c r="E33" s="116">
        <f>(H33+H79+H122)/H36</f>
        <v>0</v>
      </c>
      <c r="F33" s="18"/>
      <c r="G33" s="27" t="s">
        <v>24</v>
      </c>
      <c r="H33" s="22">
        <f>SUM(H34:H35)</f>
        <v>0</v>
      </c>
      <c r="I33" s="33"/>
      <c r="J33" s="33"/>
    </row>
    <row r="34" spans="1:10" ht="15.5" x14ac:dyDescent="0.35">
      <c r="A34" s="118"/>
      <c r="B34" s="119"/>
      <c r="C34" s="13"/>
      <c r="D34" s="9" t="s">
        <v>25</v>
      </c>
      <c r="E34" s="108"/>
      <c r="F34" s="109"/>
      <c r="G34" s="21" t="e">
        <f>VLOOKUP(A34,'Frozen - 50061'!$C$2:$J$400, 8, FALSE)</f>
        <v>#N/A</v>
      </c>
      <c r="H34" s="10"/>
      <c r="I34" s="33"/>
      <c r="J34" s="33"/>
    </row>
    <row r="35" spans="1:10" ht="15.5" x14ac:dyDescent="0.35">
      <c r="A35" s="118"/>
      <c r="B35" s="119"/>
      <c r="C35" s="36"/>
      <c r="D35" s="37" t="s">
        <v>25</v>
      </c>
      <c r="E35" s="120"/>
      <c r="F35" s="121"/>
      <c r="G35" s="21" t="e">
        <f>VLOOKUP(A35,'Frozen - 50061'!$C$2:$J$400, 8, FALSE)</f>
        <v>#N/A</v>
      </c>
      <c r="H35" s="10"/>
      <c r="I35" s="33"/>
      <c r="J35" s="33"/>
    </row>
    <row r="36" spans="1:10" ht="16" thickBot="1" x14ac:dyDescent="0.4">
      <c r="A36" s="30" t="str">
        <f>A7</f>
        <v>Storeroom PL ()</v>
      </c>
      <c r="B36" s="40">
        <f>E7</f>
        <v>0.12167785449517882</v>
      </c>
      <c r="C36" s="31"/>
      <c r="D36" s="31"/>
      <c r="E36" s="31"/>
      <c r="F36" s="4" t="s">
        <v>37</v>
      </c>
      <c r="G36" s="4"/>
      <c r="H36" s="35">
        <f>H33+H30+H23+H20+H16+H7</f>
        <v>7.3893733342709602</v>
      </c>
    </row>
    <row r="37" spans="1:10" ht="16" thickBot="1" x14ac:dyDescent="0.4">
      <c r="A37" s="38" t="str">
        <f>A16</f>
        <v>Meat PL ()</v>
      </c>
      <c r="B37" s="41">
        <f>E16</f>
        <v>0.1183944932182027</v>
      </c>
      <c r="C37" s="29"/>
      <c r="D37" s="29"/>
      <c r="E37" s="29"/>
      <c r="F37" s="4" t="s">
        <v>38</v>
      </c>
      <c r="G37" s="4"/>
      <c r="H37" s="12">
        <v>5</v>
      </c>
    </row>
    <row r="38" spans="1:10" ht="16" thickBot="1" x14ac:dyDescent="0.4">
      <c r="A38" s="39" t="str">
        <f>A20</f>
        <v>Dairy PL ()</v>
      </c>
      <c r="B38" s="42">
        <f>E20</f>
        <v>3.0547809192393072E-2</v>
      </c>
      <c r="C38" s="29"/>
      <c r="D38" s="29"/>
      <c r="E38" s="29"/>
      <c r="F38" s="4" t="s">
        <v>39</v>
      </c>
      <c r="G38" s="4"/>
      <c r="H38" s="11">
        <f>H36/D3</f>
        <v>0.30789055559462336</v>
      </c>
    </row>
    <row r="39" spans="1:10" ht="16" thickBot="1" x14ac:dyDescent="0.4">
      <c r="A39" s="39" t="str">
        <f>A23</f>
        <v>Produce PL ()</v>
      </c>
      <c r="B39" s="42">
        <f>E23</f>
        <v>0.8957511014763232</v>
      </c>
      <c r="C39" s="29"/>
      <c r="D39" s="29"/>
      <c r="E39" s="29"/>
      <c r="F39" s="23" t="s">
        <v>40</v>
      </c>
      <c r="H39" s="25">
        <f>H37-H38</f>
        <v>4.6921094444053768</v>
      </c>
    </row>
    <row r="40" spans="1:10" ht="16" thickBot="1" x14ac:dyDescent="0.4">
      <c r="A40" s="39" t="str">
        <f>A30</f>
        <v>Bakery PL ()</v>
      </c>
      <c r="B40" s="42">
        <f>E30</f>
        <v>8.0972134749010508E-2</v>
      </c>
      <c r="C40" s="29"/>
      <c r="D40" s="29"/>
      <c r="E40" s="29"/>
      <c r="F40" s="24" t="s">
        <v>41</v>
      </c>
      <c r="H40" s="26">
        <f>H39/H37</f>
        <v>0.93842188888107536</v>
      </c>
    </row>
    <row r="41" spans="1:10" ht="16" thickBot="1" x14ac:dyDescent="0.4">
      <c r="A41" s="39" t="str">
        <f>A33</f>
        <v>Frozen PL ()</v>
      </c>
      <c r="B41" s="42">
        <f>E33</f>
        <v>0</v>
      </c>
      <c r="C41" s="29"/>
      <c r="D41" s="29"/>
      <c r="E41" s="29"/>
      <c r="F41" s="24" t="s">
        <v>42</v>
      </c>
      <c r="H41" s="26">
        <f>(H39/H38)</f>
        <v>15.239536774174811</v>
      </c>
    </row>
    <row r="42" spans="1:10" ht="18.5" x14ac:dyDescent="0.35">
      <c r="A42" s="89" t="s">
        <v>24</v>
      </c>
      <c r="B42" s="90">
        <f>SUM(B36:B41)</f>
        <v>1.2473433931311082</v>
      </c>
      <c r="C42" s="29"/>
      <c r="D42" s="29"/>
      <c r="E42" s="29"/>
      <c r="F42" s="29"/>
      <c r="G42" s="29"/>
      <c r="J42" s="20"/>
    </row>
    <row r="43" spans="1:10" x14ac:dyDescent="0.35">
      <c r="A43" s="29"/>
      <c r="B43" s="29"/>
      <c r="C43" s="29"/>
      <c r="D43" s="29"/>
      <c r="E43" s="29"/>
      <c r="F43" s="29"/>
      <c r="G43" s="29"/>
    </row>
    <row r="44" spans="1:10" x14ac:dyDescent="0.35">
      <c r="A44" s="130" t="s">
        <v>43</v>
      </c>
      <c r="B44" s="130"/>
      <c r="C44" s="130"/>
      <c r="D44" s="130"/>
      <c r="E44" s="130"/>
      <c r="F44" s="130"/>
      <c r="G44" s="130"/>
      <c r="H44" s="130"/>
    </row>
    <row r="45" spans="1:10" x14ac:dyDescent="0.35">
      <c r="A45" s="130"/>
      <c r="B45" s="130"/>
      <c r="C45" s="130"/>
      <c r="D45" s="130"/>
      <c r="E45" s="130"/>
      <c r="F45" s="130"/>
      <c r="G45" s="130"/>
      <c r="H45" s="130"/>
    </row>
    <row r="46" spans="1:10" x14ac:dyDescent="0.35">
      <c r="A46" s="130"/>
      <c r="B46" s="130"/>
      <c r="C46" s="130"/>
      <c r="D46" s="130"/>
      <c r="E46" s="130"/>
      <c r="F46" s="130"/>
      <c r="G46" s="130"/>
      <c r="H46" s="130"/>
    </row>
    <row r="47" spans="1:10" ht="15" thickBot="1" x14ac:dyDescent="0.4">
      <c r="A47" s="131"/>
      <c r="B47" s="131"/>
      <c r="C47" s="131"/>
      <c r="D47" s="131"/>
      <c r="E47" s="131"/>
      <c r="F47" s="131"/>
      <c r="G47" s="131"/>
      <c r="H47" s="131"/>
    </row>
    <row r="48" spans="1:10" ht="26.5" thickBot="1" x14ac:dyDescent="0.4">
      <c r="A48" s="132" t="s">
        <v>7</v>
      </c>
      <c r="B48" s="132"/>
      <c r="C48" s="132"/>
      <c r="D48" s="133" t="s">
        <v>8</v>
      </c>
      <c r="E48" s="133"/>
      <c r="F48" s="133"/>
      <c r="G48" s="133"/>
      <c r="H48" s="133"/>
    </row>
    <row r="49" spans="1:8" ht="15.5" x14ac:dyDescent="0.35">
      <c r="A49" s="4" t="s">
        <v>9</v>
      </c>
      <c r="B49" s="5" t="s">
        <v>5</v>
      </c>
      <c r="C49" s="3"/>
      <c r="D49" s="3"/>
      <c r="E49" s="95" t="s">
        <v>10</v>
      </c>
      <c r="F49" s="96"/>
      <c r="G49" s="96"/>
      <c r="H49" s="97"/>
    </row>
    <row r="50" spans="1:8" ht="16" thickBot="1" x14ac:dyDescent="0.4">
      <c r="A50" s="6" t="s">
        <v>11</v>
      </c>
      <c r="B50" s="5" t="s">
        <v>1</v>
      </c>
      <c r="C50" s="4" t="s">
        <v>12</v>
      </c>
      <c r="D50" s="7">
        <v>1</v>
      </c>
      <c r="E50" s="146" t="s">
        <v>13</v>
      </c>
      <c r="F50" s="147"/>
      <c r="G50" s="147"/>
      <c r="H50" s="148"/>
    </row>
    <row r="51" spans="1:8" ht="15.5" x14ac:dyDescent="0.35">
      <c r="A51" s="4" t="s">
        <v>14</v>
      </c>
      <c r="B51" s="34"/>
      <c r="C51" s="4" t="s">
        <v>15</v>
      </c>
      <c r="D51" s="7">
        <v>1</v>
      </c>
      <c r="E51" s="5" t="s">
        <v>45</v>
      </c>
      <c r="H51" s="3"/>
    </row>
    <row r="52" spans="1:8" ht="15.5" x14ac:dyDescent="0.35">
      <c r="A52" s="149" t="s">
        <v>16</v>
      </c>
      <c r="B52" s="150"/>
      <c r="C52" s="153" t="s">
        <v>17</v>
      </c>
      <c r="D52" s="154"/>
      <c r="E52" s="140" t="s">
        <v>18</v>
      </c>
      <c r="F52" s="141"/>
      <c r="G52" s="141"/>
      <c r="H52" s="142"/>
    </row>
    <row r="53" spans="1:8" ht="15.5" x14ac:dyDescent="0.35">
      <c r="A53" s="151"/>
      <c r="B53" s="152"/>
      <c r="C53" s="8" t="s">
        <v>19</v>
      </c>
      <c r="D53" s="8" t="s">
        <v>20</v>
      </c>
      <c r="E53" s="155"/>
      <c r="F53" s="156"/>
      <c r="G53" s="92" t="s">
        <v>21</v>
      </c>
      <c r="H53" s="93" t="s">
        <v>22</v>
      </c>
    </row>
    <row r="54" spans="1:8" ht="15.5" x14ac:dyDescent="0.35">
      <c r="A54" s="157" t="s">
        <v>23</v>
      </c>
      <c r="B54" s="158"/>
      <c r="C54" s="14"/>
      <c r="D54" s="15"/>
      <c r="E54" s="128">
        <f>H54/$H$82</f>
        <v>6.0305706949084714E-2</v>
      </c>
      <c r="F54" s="129"/>
      <c r="G54" s="17" t="s">
        <v>24</v>
      </c>
      <c r="H54" s="22">
        <f>SUM(H55:H62)</f>
        <v>0.1287890625</v>
      </c>
    </row>
    <row r="55" spans="1:8" ht="15.5" x14ac:dyDescent="0.35">
      <c r="A55" s="118" t="s">
        <v>83</v>
      </c>
      <c r="B55" s="145"/>
      <c r="C55" s="19">
        <v>2</v>
      </c>
      <c r="D55" s="9" t="s">
        <v>25</v>
      </c>
      <c r="E55" s="126"/>
      <c r="F55" s="127"/>
      <c r="G55" s="21">
        <f>VLOOKUP(A55,'Storeroom - 50011'!$C$2:$J$400, 8, FALSE)</f>
        <v>6.4394531249999998E-2</v>
      </c>
      <c r="H55" s="10">
        <f>G55*C55</f>
        <v>0.1287890625</v>
      </c>
    </row>
    <row r="56" spans="1:8" ht="15.5" x14ac:dyDescent="0.35">
      <c r="A56" s="118"/>
      <c r="B56" s="145"/>
      <c r="C56" s="19"/>
      <c r="D56" s="9" t="s">
        <v>25</v>
      </c>
      <c r="E56" s="126"/>
      <c r="F56" s="127"/>
      <c r="G56" s="21" t="e">
        <f>VLOOKUP(A56,'Storeroom - 50011'!$C$2:$J$400, 8, FALSE)</f>
        <v>#N/A</v>
      </c>
      <c r="H56" s="10"/>
    </row>
    <row r="57" spans="1:8" ht="15.5" x14ac:dyDescent="0.35">
      <c r="A57" s="118"/>
      <c r="B57" s="145"/>
      <c r="C57" s="19"/>
      <c r="D57" s="9" t="s">
        <v>25</v>
      </c>
      <c r="E57" s="126"/>
      <c r="F57" s="127"/>
      <c r="G57" s="21" t="e">
        <f>VLOOKUP(A57,'Storeroom - 50011'!$C$2:$J$400, 8, FALSE)</f>
        <v>#N/A</v>
      </c>
      <c r="H57" s="10"/>
    </row>
    <row r="58" spans="1:8" ht="15.5" x14ac:dyDescent="0.35">
      <c r="A58" s="118"/>
      <c r="B58" s="145"/>
      <c r="C58" s="19"/>
      <c r="D58" s="9" t="s">
        <v>25</v>
      </c>
      <c r="E58" s="126"/>
      <c r="F58" s="127"/>
      <c r="G58" s="21" t="e">
        <f>VLOOKUP(A58,'Storeroom - 50011'!$C$2:$J$400, 8, FALSE)</f>
        <v>#N/A</v>
      </c>
      <c r="H58" s="10"/>
    </row>
    <row r="59" spans="1:8" ht="15.5" x14ac:dyDescent="0.35">
      <c r="A59" s="118"/>
      <c r="B59" s="145"/>
      <c r="C59" s="19"/>
      <c r="D59" s="9" t="s">
        <v>25</v>
      </c>
      <c r="E59" s="108"/>
      <c r="F59" s="109"/>
      <c r="G59" s="21" t="e">
        <f>VLOOKUP(A59,'Storeroom - 50011'!$C$2:$J$400, 8, FALSE)</f>
        <v>#N/A</v>
      </c>
      <c r="H59" s="10"/>
    </row>
    <row r="60" spans="1:8" ht="15.5" x14ac:dyDescent="0.35">
      <c r="A60" s="118"/>
      <c r="B60" s="145"/>
      <c r="C60" s="19"/>
      <c r="D60" s="9" t="s">
        <v>25</v>
      </c>
      <c r="E60" s="108"/>
      <c r="F60" s="109"/>
      <c r="G60" s="21" t="e">
        <f>VLOOKUP(A60,'Storeroom - 50011'!$C$2:$J$400, 8, FALSE)</f>
        <v>#N/A</v>
      </c>
      <c r="H60" s="10"/>
    </row>
    <row r="61" spans="1:8" ht="15.5" x14ac:dyDescent="0.35">
      <c r="A61" s="118"/>
      <c r="B61" s="145"/>
      <c r="C61" s="19"/>
      <c r="D61" s="9" t="s">
        <v>25</v>
      </c>
      <c r="E61" s="108"/>
      <c r="F61" s="109"/>
      <c r="G61" s="21" t="e">
        <f>VLOOKUP(A61,'Storeroom - 50011'!$C$2:$J$400, 8, FALSE)</f>
        <v>#N/A</v>
      </c>
      <c r="H61" s="10"/>
    </row>
    <row r="62" spans="1:8" ht="15.5" x14ac:dyDescent="0.35">
      <c r="A62" s="118"/>
      <c r="B62" s="145"/>
      <c r="C62" s="19"/>
      <c r="D62" s="9" t="s">
        <v>25</v>
      </c>
      <c r="E62" s="108"/>
      <c r="F62" s="109"/>
      <c r="G62" s="21" t="e">
        <f>VLOOKUP(A62,'Storeroom - 50011'!$C$2:$J$400, 8, FALSE)</f>
        <v>#N/A</v>
      </c>
      <c r="H62" s="10"/>
    </row>
    <row r="63" spans="1:8" ht="15.5" x14ac:dyDescent="0.35">
      <c r="A63" s="143" t="s">
        <v>26</v>
      </c>
      <c r="B63" s="144"/>
      <c r="C63" s="16"/>
      <c r="D63" s="15"/>
      <c r="E63" s="124">
        <f>H63/$H$82</f>
        <v>0.40965526702096544</v>
      </c>
      <c r="F63" s="125"/>
      <c r="G63" s="27" t="s">
        <v>24</v>
      </c>
      <c r="H63" s="22">
        <f>SUM(H64:H66)</f>
        <v>0.87486111111111109</v>
      </c>
    </row>
    <row r="64" spans="1:8" ht="15.5" x14ac:dyDescent="0.35">
      <c r="A64" s="118" t="s">
        <v>90</v>
      </c>
      <c r="B64" s="145"/>
      <c r="C64" s="13">
        <v>3</v>
      </c>
      <c r="D64" s="9" t="s">
        <v>25</v>
      </c>
      <c r="E64" s="126"/>
      <c r="F64" s="127"/>
      <c r="G64" s="21">
        <f>VLOOKUP(A64,'Meat - 50021'!$C$2:$L$400, 10, FALSE)</f>
        <v>0.17430555555555555</v>
      </c>
      <c r="H64" s="10">
        <f>G64*C64</f>
        <v>0.5229166666666667</v>
      </c>
    </row>
    <row r="65" spans="1:8" ht="15.5" x14ac:dyDescent="0.35">
      <c r="A65" s="118" t="s">
        <v>91</v>
      </c>
      <c r="B65" s="145"/>
      <c r="C65" s="13">
        <v>2</v>
      </c>
      <c r="D65" s="9" t="s">
        <v>25</v>
      </c>
      <c r="E65" s="108"/>
      <c r="F65" s="109"/>
      <c r="G65" s="21">
        <f>VLOOKUP(A65,'Meat - 50021'!$C$2:$L$400, 10, FALSE)</f>
        <v>0.17597222222222222</v>
      </c>
      <c r="H65" s="10">
        <f>G65*C65</f>
        <v>0.35194444444444445</v>
      </c>
    </row>
    <row r="66" spans="1:8" ht="15.5" x14ac:dyDescent="0.35">
      <c r="A66" s="118"/>
      <c r="B66" s="145"/>
      <c r="C66" s="13"/>
      <c r="D66" s="9" t="s">
        <v>25</v>
      </c>
      <c r="E66" s="126"/>
      <c r="F66" s="127"/>
      <c r="G66" s="21" t="e">
        <f>VLOOKUP(A66,'Meat - 50021'!$C$2:$L$400, 10, FALSE)</f>
        <v>#N/A</v>
      </c>
      <c r="H66" s="10"/>
    </row>
    <row r="67" spans="1:8" ht="15.5" x14ac:dyDescent="0.35">
      <c r="A67" s="143" t="s">
        <v>27</v>
      </c>
      <c r="B67" s="144"/>
      <c r="C67" s="16"/>
      <c r="D67" s="15"/>
      <c r="E67" s="124">
        <f>H67/$H$82</f>
        <v>0.10569808266801463</v>
      </c>
      <c r="F67" s="125"/>
      <c r="G67" s="27" t="s">
        <v>24</v>
      </c>
      <c r="H67" s="22">
        <f>SUM(H68:H69)</f>
        <v>0.22572916666666668</v>
      </c>
    </row>
    <row r="68" spans="1:8" ht="15.5" x14ac:dyDescent="0.35">
      <c r="A68" s="118" t="s">
        <v>92</v>
      </c>
      <c r="B68" s="145"/>
      <c r="C68" s="13">
        <v>1</v>
      </c>
      <c r="D68" s="9" t="s">
        <v>25</v>
      </c>
      <c r="E68" s="126"/>
      <c r="F68" s="127"/>
      <c r="G68" s="21">
        <f>VLOOKUP(A68,'Dairy - 50031'!$C$2:$J$400,8, FALSE)</f>
        <v>0.22572916666666668</v>
      </c>
      <c r="H68" s="10">
        <f>G68*C68</f>
        <v>0.22572916666666668</v>
      </c>
    </row>
    <row r="69" spans="1:8" ht="15.5" x14ac:dyDescent="0.35">
      <c r="A69" s="118"/>
      <c r="B69" s="145"/>
      <c r="C69" s="13"/>
      <c r="D69" s="9" t="s">
        <v>25</v>
      </c>
      <c r="E69" s="126"/>
      <c r="F69" s="127"/>
      <c r="G69" s="21" t="e">
        <f>VLOOKUP(A69,'Dairy - 50031'!$C$2:$J$400,8, FALSE)</f>
        <v>#N/A</v>
      </c>
      <c r="H69" s="10"/>
    </row>
    <row r="70" spans="1:8" ht="15.5" x14ac:dyDescent="0.35">
      <c r="A70" s="143" t="s">
        <v>30</v>
      </c>
      <c r="B70" s="144"/>
      <c r="C70" s="16"/>
      <c r="D70" s="15"/>
      <c r="E70" s="124">
        <f>H70/H82</f>
        <v>0</v>
      </c>
      <c r="F70" s="125"/>
      <c r="G70" s="27" t="s">
        <v>24</v>
      </c>
      <c r="H70" s="22">
        <f>SUM(H71:H75)</f>
        <v>0</v>
      </c>
    </row>
    <row r="71" spans="1:8" ht="15.5" x14ac:dyDescent="0.35">
      <c r="A71" s="118"/>
      <c r="B71" s="119"/>
      <c r="C71" s="13"/>
      <c r="D71" s="9" t="s">
        <v>25</v>
      </c>
      <c r="E71" s="108"/>
      <c r="F71" s="109"/>
      <c r="G71" s="21" t="e">
        <f>VLOOKUP(A71,'Produce - 50051'!$C$2:$L$400, 10, FALSE)</f>
        <v>#N/A</v>
      </c>
      <c r="H71" s="10"/>
    </row>
    <row r="72" spans="1:8" ht="15.5" x14ac:dyDescent="0.35">
      <c r="A72" s="118"/>
      <c r="B72" s="119"/>
      <c r="C72" s="13"/>
      <c r="D72" s="9" t="s">
        <v>25</v>
      </c>
      <c r="E72" s="108"/>
      <c r="F72" s="109"/>
      <c r="G72" s="21" t="e">
        <f>VLOOKUP(A72,'Produce - 50051'!$C$2:$L$400, 10, FALSE)</f>
        <v>#N/A</v>
      </c>
      <c r="H72" s="10"/>
    </row>
    <row r="73" spans="1:8" ht="15.5" x14ac:dyDescent="0.35">
      <c r="A73" s="118"/>
      <c r="B73" s="119"/>
      <c r="C73" s="13"/>
      <c r="D73" s="9" t="s">
        <v>25</v>
      </c>
      <c r="E73" s="108"/>
      <c r="F73" s="109"/>
      <c r="G73" s="21" t="e">
        <f>VLOOKUP(A73,'Produce - 50051'!$C$2:$L$400, 10, FALSE)</f>
        <v>#N/A</v>
      </c>
      <c r="H73" s="10"/>
    </row>
    <row r="74" spans="1:8" ht="15.5" x14ac:dyDescent="0.35">
      <c r="A74" s="118"/>
      <c r="B74" s="119"/>
      <c r="C74" s="13"/>
      <c r="D74" s="9" t="s">
        <v>25</v>
      </c>
      <c r="E74" s="108"/>
      <c r="F74" s="109"/>
      <c r="G74" s="21" t="e">
        <f>VLOOKUP(A74,'Produce - 50051'!$C$2:$L$400, 10, FALSE)</f>
        <v>#N/A</v>
      </c>
      <c r="H74" s="10"/>
    </row>
    <row r="75" spans="1:8" ht="15.5" x14ac:dyDescent="0.35">
      <c r="A75" s="118"/>
      <c r="B75" s="119"/>
      <c r="C75" s="13"/>
      <c r="D75" s="9" t="s">
        <v>25</v>
      </c>
      <c r="E75" s="108"/>
      <c r="F75" s="109"/>
      <c r="G75" s="21" t="e">
        <f>VLOOKUP(A75,'Produce - 50051'!$C$2:$L$400, 10, FALSE)</f>
        <v>#N/A</v>
      </c>
      <c r="H75" s="10"/>
    </row>
    <row r="76" spans="1:8" ht="15.5" x14ac:dyDescent="0.35">
      <c r="A76" s="114" t="s">
        <v>34</v>
      </c>
      <c r="B76" s="115"/>
      <c r="C76" s="16"/>
      <c r="D76" s="15"/>
      <c r="E76" s="122">
        <f>H76/$H$82</f>
        <v>0.28017064459855834</v>
      </c>
      <c r="F76" s="123"/>
      <c r="G76" s="27" t="s">
        <v>24</v>
      </c>
      <c r="H76" s="22">
        <f>SUM(H77:H81)</f>
        <v>0.59833333333333327</v>
      </c>
    </row>
    <row r="77" spans="1:8" ht="15.5" x14ac:dyDescent="0.35">
      <c r="A77" s="118" t="s">
        <v>93</v>
      </c>
      <c r="B77" s="119"/>
      <c r="C77" s="13">
        <v>1</v>
      </c>
      <c r="D77" s="9" t="s">
        <v>29</v>
      </c>
      <c r="E77" s="108"/>
      <c r="F77" s="109"/>
      <c r="G77" s="21">
        <f>VLOOKUP(A77,'Bakery - 50041'!$C$2:$J$400, 8, FALSE)</f>
        <v>0.59833333333333327</v>
      </c>
      <c r="H77" s="10">
        <f>G77*C77</f>
        <v>0.59833333333333327</v>
      </c>
    </row>
    <row r="78" spans="1:8" ht="15.5" x14ac:dyDescent="0.35">
      <c r="A78" s="118"/>
      <c r="B78" s="119"/>
      <c r="C78" s="13"/>
      <c r="D78" s="9" t="s">
        <v>25</v>
      </c>
      <c r="E78" s="108"/>
      <c r="F78" s="109"/>
      <c r="G78" s="21" t="e">
        <f>VLOOKUP(A78,'Bakery - 50041'!$C$2:$J$400, 8, FALSE)</f>
        <v>#N/A</v>
      </c>
      <c r="H78" s="10"/>
    </row>
    <row r="79" spans="1:8" ht="15.5" x14ac:dyDescent="0.35">
      <c r="A79" s="114" t="s">
        <v>35</v>
      </c>
      <c r="B79" s="115"/>
      <c r="C79" s="16"/>
      <c r="D79" s="15"/>
      <c r="E79" s="116">
        <f>H79/$H$82</f>
        <v>0</v>
      </c>
      <c r="F79" s="18"/>
      <c r="G79" s="27" t="s">
        <v>24</v>
      </c>
      <c r="H79" s="22">
        <f>SUM(H80:H81)</f>
        <v>0</v>
      </c>
    </row>
    <row r="80" spans="1:8" ht="15.5" x14ac:dyDescent="0.35">
      <c r="A80" s="118"/>
      <c r="B80" s="119"/>
      <c r="C80" s="13"/>
      <c r="D80" s="9" t="s">
        <v>25</v>
      </c>
      <c r="E80" s="108"/>
      <c r="F80" s="109"/>
      <c r="G80" s="21" t="e">
        <f>VLOOKUP(A80,'Frozen - 50061'!$C$2:$J$400, 8, FALSE)</f>
        <v>#N/A</v>
      </c>
      <c r="H80" s="10"/>
    </row>
    <row r="81" spans="1:8" ht="15.5" x14ac:dyDescent="0.35">
      <c r="A81" s="118"/>
      <c r="B81" s="119"/>
      <c r="C81" s="36"/>
      <c r="D81" s="37" t="s">
        <v>25</v>
      </c>
      <c r="E81" s="120"/>
      <c r="F81" s="121"/>
      <c r="G81" s="21" t="e">
        <f>VLOOKUP(A81,'Frozen - 50061'!$C$2:$J$400, 8, FALSE)</f>
        <v>#N/A</v>
      </c>
      <c r="H81" s="10"/>
    </row>
    <row r="82" spans="1:8" ht="16" thickBot="1" x14ac:dyDescent="0.4">
      <c r="A82" s="30"/>
      <c r="B82" s="40"/>
      <c r="C82" s="31"/>
      <c r="D82" s="31"/>
      <c r="E82" s="31"/>
      <c r="F82" s="4" t="s">
        <v>37</v>
      </c>
      <c r="G82" s="4"/>
      <c r="H82" s="35">
        <f>H79+H76+H70+H67+H63+H54+H38</f>
        <v>2.1356032292057341</v>
      </c>
    </row>
    <row r="83" spans="1:8" ht="16" thickBot="1" x14ac:dyDescent="0.4">
      <c r="A83" s="38"/>
      <c r="B83" s="41"/>
      <c r="C83" s="29"/>
      <c r="D83" s="29"/>
      <c r="E83" s="29"/>
      <c r="F83" s="4" t="s">
        <v>38</v>
      </c>
      <c r="G83" s="4"/>
      <c r="H83" s="12">
        <v>5</v>
      </c>
    </row>
    <row r="84" spans="1:8" ht="16" thickBot="1" x14ac:dyDescent="0.4">
      <c r="A84" s="39"/>
      <c r="B84" s="42"/>
      <c r="C84" s="29"/>
      <c r="D84" s="29"/>
      <c r="E84" s="29"/>
      <c r="F84" s="4" t="s">
        <v>39</v>
      </c>
      <c r="G84" s="4"/>
      <c r="H84" s="11">
        <f>H82/D50</f>
        <v>2.1356032292057341</v>
      </c>
    </row>
    <row r="85" spans="1:8" ht="16" thickBot="1" x14ac:dyDescent="0.4">
      <c r="A85" s="39"/>
      <c r="B85" s="42"/>
      <c r="C85" s="29"/>
      <c r="D85" s="29"/>
      <c r="E85" s="29"/>
      <c r="F85" s="23" t="s">
        <v>40</v>
      </c>
      <c r="H85" s="25">
        <f>H83-H84</f>
        <v>2.8643967707942659</v>
      </c>
    </row>
    <row r="86" spans="1:8" ht="16" thickBot="1" x14ac:dyDescent="0.4">
      <c r="A86" s="39"/>
      <c r="B86" s="42"/>
      <c r="C86" s="29"/>
      <c r="D86" s="29"/>
      <c r="E86" s="29"/>
      <c r="F86" s="24" t="s">
        <v>41</v>
      </c>
      <c r="H86" s="88">
        <f>H85/H83</f>
        <v>0.57287935415885316</v>
      </c>
    </row>
    <row r="87" spans="1:8" ht="18" customHeight="1" x14ac:dyDescent="0.35">
      <c r="A87" s="130" t="s">
        <v>52</v>
      </c>
      <c r="B87" s="130"/>
      <c r="C87" s="130"/>
      <c r="D87" s="130"/>
      <c r="E87" s="130"/>
      <c r="F87" s="130"/>
      <c r="G87" s="130"/>
      <c r="H87" s="130"/>
    </row>
    <row r="88" spans="1:8" ht="15" customHeight="1" x14ac:dyDescent="0.35">
      <c r="A88" s="130"/>
      <c r="B88" s="130"/>
      <c r="C88" s="130"/>
      <c r="D88" s="130"/>
      <c r="E88" s="130"/>
      <c r="F88" s="130"/>
      <c r="G88" s="130"/>
      <c r="H88" s="130"/>
    </row>
    <row r="89" spans="1:8" ht="15" customHeight="1" x14ac:dyDescent="0.35">
      <c r="A89" s="130"/>
      <c r="B89" s="130"/>
      <c r="C89" s="130"/>
      <c r="D89" s="130"/>
      <c r="E89" s="130"/>
      <c r="F89" s="130"/>
      <c r="G89" s="130"/>
      <c r="H89" s="130"/>
    </row>
    <row r="90" spans="1:8" ht="15" customHeight="1" thickBot="1" x14ac:dyDescent="0.4">
      <c r="A90" s="131"/>
      <c r="B90" s="131"/>
      <c r="C90" s="131"/>
      <c r="D90" s="131"/>
      <c r="E90" s="131"/>
      <c r="F90" s="131"/>
      <c r="G90" s="131"/>
      <c r="H90" s="131"/>
    </row>
    <row r="91" spans="1:8" ht="26.5" thickBot="1" x14ac:dyDescent="0.4">
      <c r="A91" s="132" t="s">
        <v>7</v>
      </c>
      <c r="B91" s="132"/>
      <c r="C91" s="132"/>
      <c r="D91" s="133" t="s">
        <v>8</v>
      </c>
      <c r="E91" s="133"/>
      <c r="F91" s="133"/>
      <c r="G91" s="133"/>
      <c r="H91" s="133"/>
    </row>
    <row r="92" spans="1:8" ht="15.5" x14ac:dyDescent="0.35">
      <c r="A92" s="4" t="s">
        <v>9</v>
      </c>
      <c r="B92" s="5"/>
      <c r="C92" s="3"/>
      <c r="D92" s="3"/>
      <c r="E92" s="95" t="s">
        <v>10</v>
      </c>
      <c r="F92" s="96"/>
      <c r="G92" s="96"/>
      <c r="H92" s="97"/>
    </row>
    <row r="93" spans="1:8" ht="16" thickBot="1" x14ac:dyDescent="0.4">
      <c r="A93" s="6" t="s">
        <v>11</v>
      </c>
      <c r="B93" s="5"/>
      <c r="C93" s="4" t="s">
        <v>12</v>
      </c>
      <c r="D93" s="7"/>
      <c r="E93" s="94" t="s">
        <v>13</v>
      </c>
      <c r="F93" s="110"/>
      <c r="G93" s="110"/>
      <c r="H93" s="111"/>
    </row>
    <row r="94" spans="1:8" ht="15.5" x14ac:dyDescent="0.35">
      <c r="A94" s="4" t="s">
        <v>14</v>
      </c>
      <c r="B94" s="34"/>
      <c r="C94" s="4" t="s">
        <v>15</v>
      </c>
      <c r="D94" s="7"/>
      <c r="E94" s="5" t="s">
        <v>45</v>
      </c>
      <c r="H94" s="3"/>
    </row>
    <row r="95" spans="1:8" ht="15.5" x14ac:dyDescent="0.35">
      <c r="A95" s="134" t="s">
        <v>16</v>
      </c>
      <c r="B95" s="135"/>
      <c r="C95" s="138" t="s">
        <v>17</v>
      </c>
      <c r="D95" s="139"/>
      <c r="E95" s="140" t="s">
        <v>18</v>
      </c>
      <c r="F95" s="141"/>
      <c r="G95" s="141"/>
      <c r="H95" s="142"/>
    </row>
    <row r="96" spans="1:8" ht="15.5" x14ac:dyDescent="0.35">
      <c r="A96" s="136"/>
      <c r="B96" s="137"/>
      <c r="C96" s="8" t="s">
        <v>19</v>
      </c>
      <c r="D96" s="8" t="s">
        <v>20</v>
      </c>
      <c r="E96" s="112"/>
      <c r="F96" s="113"/>
      <c r="G96" s="28" t="s">
        <v>21</v>
      </c>
      <c r="H96" s="91" t="s">
        <v>22</v>
      </c>
    </row>
    <row r="97" spans="1:8" ht="15.5" x14ac:dyDescent="0.35">
      <c r="A97" s="105" t="s">
        <v>23</v>
      </c>
      <c r="B97" s="106"/>
      <c r="C97" s="14"/>
      <c r="D97" s="15"/>
      <c r="E97" s="128" t="e">
        <f>H97/$H$125</f>
        <v>#DIV/0!</v>
      </c>
      <c r="F97" s="129"/>
      <c r="G97" s="17" t="s">
        <v>24</v>
      </c>
      <c r="H97" s="22">
        <f>SUM(H98:H105)</f>
        <v>0</v>
      </c>
    </row>
    <row r="98" spans="1:8" ht="15.5" x14ac:dyDescent="0.35">
      <c r="A98" s="118"/>
      <c r="B98" s="119"/>
      <c r="C98" s="19"/>
      <c r="D98" s="9" t="s">
        <v>25</v>
      </c>
      <c r="E98" s="126"/>
      <c r="F98" s="127"/>
      <c r="G98" s="21" t="e">
        <f>VLOOKUP(A98,'Storeroom - 50011'!$C$2:$J$400, 8, FALSE)</f>
        <v>#N/A</v>
      </c>
      <c r="H98" s="10"/>
    </row>
    <row r="99" spans="1:8" ht="15.5" x14ac:dyDescent="0.35">
      <c r="A99" s="118"/>
      <c r="B99" s="119"/>
      <c r="C99" s="19"/>
      <c r="D99" s="9" t="s">
        <v>25</v>
      </c>
      <c r="E99" s="126"/>
      <c r="F99" s="127"/>
      <c r="G99" s="21" t="e">
        <f>VLOOKUP(A99,'Storeroom - 50011'!$C$2:$J$400, 8, FALSE)</f>
        <v>#N/A</v>
      </c>
      <c r="H99" s="10"/>
    </row>
    <row r="100" spans="1:8" ht="15.5" x14ac:dyDescent="0.35">
      <c r="A100" s="118"/>
      <c r="B100" s="119"/>
      <c r="C100" s="19"/>
      <c r="D100" s="9" t="s">
        <v>25</v>
      </c>
      <c r="E100" s="126"/>
      <c r="F100" s="127"/>
      <c r="G100" s="21" t="e">
        <f>VLOOKUP(A100,'Storeroom - 50011'!$C$2:$J$400, 8, FALSE)</f>
        <v>#N/A</v>
      </c>
      <c r="H100" s="10"/>
    </row>
    <row r="101" spans="1:8" ht="15.5" x14ac:dyDescent="0.35">
      <c r="A101" s="118"/>
      <c r="B101" s="119"/>
      <c r="C101" s="19"/>
      <c r="D101" s="9" t="s">
        <v>25</v>
      </c>
      <c r="E101" s="126"/>
      <c r="F101" s="127"/>
      <c r="G101" s="21" t="e">
        <f>VLOOKUP(A101,'Storeroom - 50011'!$C$2:$J$400, 8, FALSE)</f>
        <v>#N/A</v>
      </c>
      <c r="H101" s="10"/>
    </row>
    <row r="102" spans="1:8" ht="15.5" x14ac:dyDescent="0.35">
      <c r="A102" s="118"/>
      <c r="B102" s="119"/>
      <c r="C102" s="19"/>
      <c r="D102" s="9" t="s">
        <v>25</v>
      </c>
      <c r="E102" s="108"/>
      <c r="F102" s="109"/>
      <c r="G102" s="21" t="e">
        <f>VLOOKUP(A102,'Storeroom - 50011'!$C$2:$J$400, 8, FALSE)</f>
        <v>#N/A</v>
      </c>
      <c r="H102" s="10"/>
    </row>
    <row r="103" spans="1:8" ht="15.5" x14ac:dyDescent="0.35">
      <c r="A103" s="118"/>
      <c r="B103" s="119"/>
      <c r="C103" s="19"/>
      <c r="D103" s="9" t="s">
        <v>25</v>
      </c>
      <c r="E103" s="108"/>
      <c r="F103" s="109"/>
      <c r="G103" s="21" t="e">
        <f>VLOOKUP(A103,'Storeroom - 50011'!$C$2:$J$400, 8, FALSE)</f>
        <v>#N/A</v>
      </c>
      <c r="H103" s="10"/>
    </row>
    <row r="104" spans="1:8" ht="15.5" x14ac:dyDescent="0.35">
      <c r="A104" s="118"/>
      <c r="B104" s="119"/>
      <c r="C104" s="19"/>
      <c r="D104" s="9" t="s">
        <v>25</v>
      </c>
      <c r="E104" s="108"/>
      <c r="F104" s="109"/>
      <c r="G104" s="21" t="e">
        <f>VLOOKUP(A104,'Storeroom - 50011'!$C$2:$J$400, 8, FALSE)</f>
        <v>#N/A</v>
      </c>
      <c r="H104" s="10"/>
    </row>
    <row r="105" spans="1:8" ht="15.5" x14ac:dyDescent="0.35">
      <c r="A105" s="118"/>
      <c r="B105" s="119"/>
      <c r="C105" s="19"/>
      <c r="D105" s="9" t="s">
        <v>25</v>
      </c>
      <c r="E105" s="108"/>
      <c r="F105" s="109"/>
      <c r="G105" s="21" t="e">
        <f>VLOOKUP(A105,'Storeroom - 50011'!$C$2:$J$400, 8, FALSE)</f>
        <v>#N/A</v>
      </c>
      <c r="H105" s="10"/>
    </row>
    <row r="106" spans="1:8" ht="15.5" x14ac:dyDescent="0.35">
      <c r="A106" s="114" t="s">
        <v>26</v>
      </c>
      <c r="B106" s="115"/>
      <c r="C106" s="16"/>
      <c r="D106" s="15"/>
      <c r="E106" s="124" t="e">
        <f>H106/$H$125</f>
        <v>#DIV/0!</v>
      </c>
      <c r="F106" s="125"/>
      <c r="G106" s="27" t="s">
        <v>24</v>
      </c>
      <c r="H106" s="22">
        <f>SUM(H107:H109)</f>
        <v>0</v>
      </c>
    </row>
    <row r="107" spans="1:8" ht="15.5" x14ac:dyDescent="0.35">
      <c r="A107" s="118"/>
      <c r="B107" s="119"/>
      <c r="C107" s="13"/>
      <c r="D107" s="9" t="s">
        <v>25</v>
      </c>
      <c r="E107" s="126"/>
      <c r="F107" s="127"/>
      <c r="G107" s="21" t="e">
        <f>VLOOKUP(A107,'Meat - 50021'!$C$2:$L$400, 10, FALSE)</f>
        <v>#N/A</v>
      </c>
      <c r="H107" s="10"/>
    </row>
    <row r="108" spans="1:8" ht="15.5" x14ac:dyDescent="0.35">
      <c r="A108" s="118"/>
      <c r="B108" s="119"/>
      <c r="C108" s="13"/>
      <c r="D108" s="9" t="s">
        <v>25</v>
      </c>
      <c r="E108" s="108"/>
      <c r="F108" s="109"/>
      <c r="G108" s="21" t="e">
        <f>VLOOKUP(A108,'Meat - 50021'!$C$2:$L$400, 10, FALSE)</f>
        <v>#N/A</v>
      </c>
      <c r="H108" s="10"/>
    </row>
    <row r="109" spans="1:8" ht="15.5" x14ac:dyDescent="0.35">
      <c r="A109" s="118"/>
      <c r="B109" s="119"/>
      <c r="C109" s="13"/>
      <c r="D109" s="9" t="s">
        <v>25</v>
      </c>
      <c r="E109" s="126"/>
      <c r="F109" s="127"/>
      <c r="G109" s="21" t="e">
        <f>VLOOKUP(A109,'Meat - 50021'!$C$2:$L$400, 10, FALSE)</f>
        <v>#N/A</v>
      </c>
      <c r="H109" s="10"/>
    </row>
    <row r="110" spans="1:8" ht="15.5" x14ac:dyDescent="0.35">
      <c r="A110" s="114" t="s">
        <v>27</v>
      </c>
      <c r="B110" s="115"/>
      <c r="C110" s="16"/>
      <c r="D110" s="15"/>
      <c r="E110" s="124" t="e">
        <f>H110/$H$125</f>
        <v>#DIV/0!</v>
      </c>
      <c r="F110" s="125"/>
      <c r="G110" s="27" t="s">
        <v>24</v>
      </c>
      <c r="H110" s="22">
        <f>SUM(H111:H112)</f>
        <v>0</v>
      </c>
    </row>
    <row r="111" spans="1:8" ht="15.5" x14ac:dyDescent="0.35">
      <c r="A111" s="118"/>
      <c r="B111" s="119"/>
      <c r="C111" s="13"/>
      <c r="D111" s="9" t="s">
        <v>25</v>
      </c>
      <c r="E111" s="126"/>
      <c r="F111" s="127"/>
      <c r="G111" s="21" t="e">
        <f>VLOOKUP(A111,'Dairy - 50031'!$C$2:$J$400,8, FALSE)</f>
        <v>#N/A</v>
      </c>
      <c r="H111" s="10"/>
    </row>
    <row r="112" spans="1:8" ht="15.5" x14ac:dyDescent="0.35">
      <c r="A112" s="118"/>
      <c r="B112" s="119"/>
      <c r="C112" s="13"/>
      <c r="D112" s="9" t="s">
        <v>25</v>
      </c>
      <c r="E112" s="126"/>
      <c r="F112" s="127"/>
      <c r="G112" s="21" t="e">
        <f>VLOOKUP(A112,'Dairy - 50031'!$C$2:$J$400,8, FALSE)</f>
        <v>#N/A</v>
      </c>
      <c r="H112" s="10"/>
    </row>
    <row r="113" spans="1:8" ht="15.5" x14ac:dyDescent="0.35">
      <c r="A113" s="114" t="s">
        <v>30</v>
      </c>
      <c r="B113" s="115"/>
      <c r="C113" s="16"/>
      <c r="D113" s="15"/>
      <c r="E113" s="124" t="e">
        <f>H113/$H$125</f>
        <v>#DIV/0!</v>
      </c>
      <c r="F113" s="125"/>
      <c r="G113" s="27" t="s">
        <v>24</v>
      </c>
      <c r="H113" s="22">
        <f>SUM(H114:H118)</f>
        <v>0</v>
      </c>
    </row>
    <row r="114" spans="1:8" ht="15.5" x14ac:dyDescent="0.35">
      <c r="A114" s="118"/>
      <c r="B114" s="119"/>
      <c r="C114" s="13"/>
      <c r="D114" s="9" t="s">
        <v>25</v>
      </c>
      <c r="E114" s="108"/>
      <c r="F114" s="109"/>
      <c r="G114" s="21" t="e">
        <f>VLOOKUP(A114,'Produce - 50051'!$C$2:$L$400, 10, FALSE)</f>
        <v>#N/A</v>
      </c>
      <c r="H114" s="10"/>
    </row>
    <row r="115" spans="1:8" ht="15.5" x14ac:dyDescent="0.35">
      <c r="A115" s="118"/>
      <c r="B115" s="119"/>
      <c r="C115" s="13"/>
      <c r="D115" s="9" t="s">
        <v>25</v>
      </c>
      <c r="E115" s="108"/>
      <c r="F115" s="109"/>
      <c r="G115" s="21" t="e">
        <f>VLOOKUP(A115,'Produce - 50051'!$C$2:$L$400, 10, FALSE)</f>
        <v>#N/A</v>
      </c>
      <c r="H115" s="10"/>
    </row>
    <row r="116" spans="1:8" ht="15.5" x14ac:dyDescent="0.35">
      <c r="A116" s="118"/>
      <c r="B116" s="119"/>
      <c r="C116" s="13"/>
      <c r="D116" s="9" t="s">
        <v>25</v>
      </c>
      <c r="E116" s="108"/>
      <c r="F116" s="109"/>
      <c r="G116" s="21" t="e">
        <f>VLOOKUP(A116,'Produce - 50051'!$C$2:$L$400, 10, FALSE)</f>
        <v>#N/A</v>
      </c>
      <c r="H116" s="10"/>
    </row>
    <row r="117" spans="1:8" ht="15.5" x14ac:dyDescent="0.35">
      <c r="A117" s="118"/>
      <c r="B117" s="119"/>
      <c r="C117" s="13"/>
      <c r="D117" s="9" t="s">
        <v>25</v>
      </c>
      <c r="E117" s="108"/>
      <c r="F117" s="109"/>
      <c r="G117" s="21" t="e">
        <f>VLOOKUP(A117,'Produce - 50051'!$C$2:$L$400, 10, FALSE)</f>
        <v>#N/A</v>
      </c>
      <c r="H117" s="10"/>
    </row>
    <row r="118" spans="1:8" ht="15.5" x14ac:dyDescent="0.35">
      <c r="A118" s="118"/>
      <c r="B118" s="119"/>
      <c r="C118" s="13"/>
      <c r="D118" s="9" t="s">
        <v>25</v>
      </c>
      <c r="E118" s="108"/>
      <c r="F118" s="109"/>
      <c r="G118" s="21" t="e">
        <f>VLOOKUP(A118,'Produce - 50051'!$C$2:$L$400, 10, FALSE)</f>
        <v>#N/A</v>
      </c>
      <c r="H118" s="10"/>
    </row>
    <row r="119" spans="1:8" ht="15.5" x14ac:dyDescent="0.35">
      <c r="A119" s="114" t="s">
        <v>34</v>
      </c>
      <c r="B119" s="115"/>
      <c r="C119" s="16"/>
      <c r="D119" s="15"/>
      <c r="E119" s="122" t="e">
        <f>H119/$H$125</f>
        <v>#DIV/0!</v>
      </c>
      <c r="F119" s="123"/>
      <c r="G119" s="27" t="s">
        <v>24</v>
      </c>
      <c r="H119" s="22">
        <f>SUM(H120:H124)</f>
        <v>0</v>
      </c>
    </row>
    <row r="120" spans="1:8" ht="15.5" x14ac:dyDescent="0.35">
      <c r="A120" s="118"/>
      <c r="B120" s="119"/>
      <c r="C120" s="13"/>
      <c r="D120" s="9" t="s">
        <v>29</v>
      </c>
      <c r="E120" s="108"/>
      <c r="F120" s="109"/>
      <c r="G120" s="21" t="e">
        <f>VLOOKUP(A120,'Bakery - 50041'!$C$2:$J$400, 8, FALSE)</f>
        <v>#N/A</v>
      </c>
      <c r="H120" s="10"/>
    </row>
    <row r="121" spans="1:8" ht="15.5" x14ac:dyDescent="0.35">
      <c r="A121" s="118"/>
      <c r="B121" s="119"/>
      <c r="C121" s="13"/>
      <c r="D121" s="9" t="s">
        <v>25</v>
      </c>
      <c r="E121" s="108"/>
      <c r="F121" s="109"/>
      <c r="G121" s="21" t="e">
        <f>VLOOKUP(A121,'Bakery - 50041'!$C$2:$J$400, 8, FALSE)</f>
        <v>#N/A</v>
      </c>
      <c r="H121" s="10"/>
    </row>
    <row r="122" spans="1:8" ht="15.5" x14ac:dyDescent="0.35">
      <c r="A122" s="114" t="s">
        <v>35</v>
      </c>
      <c r="B122" s="115"/>
      <c r="C122" s="16"/>
      <c r="D122" s="15"/>
      <c r="E122" s="116" t="e">
        <f>H122/$H$125</f>
        <v>#DIV/0!</v>
      </c>
      <c r="F122" s="18"/>
      <c r="G122" s="27" t="s">
        <v>24</v>
      </c>
      <c r="H122" s="22">
        <f>SUM(H123:H124)</f>
        <v>0</v>
      </c>
    </row>
    <row r="123" spans="1:8" ht="15.5" x14ac:dyDescent="0.35">
      <c r="A123" s="118"/>
      <c r="B123" s="119"/>
      <c r="C123" s="13"/>
      <c r="D123" s="9" t="s">
        <v>25</v>
      </c>
      <c r="E123" s="108"/>
      <c r="F123" s="109"/>
      <c r="G123" s="21" t="e">
        <f>VLOOKUP(A123,'Frozen - 50061'!$C$2:$J$400, 8, FALSE)</f>
        <v>#N/A</v>
      </c>
      <c r="H123" s="10"/>
    </row>
    <row r="124" spans="1:8" ht="15.5" x14ac:dyDescent="0.35">
      <c r="A124" s="118"/>
      <c r="B124" s="119"/>
      <c r="C124" s="36"/>
      <c r="D124" s="37" t="s">
        <v>25</v>
      </c>
      <c r="E124" s="120"/>
      <c r="F124" s="121"/>
      <c r="G124" s="21" t="e">
        <f>VLOOKUP(A124,'Frozen - 50061'!$C$2:$J$400, 8, FALSE)</f>
        <v>#N/A</v>
      </c>
      <c r="H124" s="10"/>
    </row>
    <row r="125" spans="1:8" ht="16" thickBot="1" x14ac:dyDescent="0.4">
      <c r="A125" s="30"/>
      <c r="B125" s="40"/>
      <c r="C125" s="31"/>
      <c r="D125" s="31"/>
      <c r="E125" s="31"/>
      <c r="F125" s="4" t="s">
        <v>37</v>
      </c>
      <c r="G125" s="4"/>
      <c r="H125" s="35">
        <f>H122+H119+H113+H110+H106+H97</f>
        <v>0</v>
      </c>
    </row>
    <row r="126" spans="1:8" ht="16" thickBot="1" x14ac:dyDescent="0.4">
      <c r="A126" s="38"/>
      <c r="B126" s="41"/>
      <c r="C126" s="29"/>
      <c r="D126" s="29"/>
      <c r="E126" s="29"/>
      <c r="F126" s="4" t="s">
        <v>38</v>
      </c>
      <c r="G126" s="4"/>
      <c r="H126" s="12"/>
    </row>
    <row r="127" spans="1:8" ht="16" thickBot="1" x14ac:dyDescent="0.4">
      <c r="A127" s="39"/>
      <c r="B127" s="42"/>
      <c r="C127" s="29"/>
      <c r="D127" s="29"/>
      <c r="E127" s="29"/>
      <c r="F127" s="4" t="s">
        <v>39</v>
      </c>
      <c r="G127" s="4"/>
      <c r="H127" s="11" t="e">
        <f>H125/D94</f>
        <v>#DIV/0!</v>
      </c>
    </row>
    <row r="128" spans="1:8" ht="16" thickBot="1" x14ac:dyDescent="0.4">
      <c r="A128" s="39"/>
      <c r="B128" s="42"/>
      <c r="C128" s="29"/>
      <c r="D128" s="29"/>
      <c r="E128" s="29"/>
      <c r="F128" s="23" t="s">
        <v>40</v>
      </c>
      <c r="H128" s="25" t="e">
        <f>H126-H127</f>
        <v>#DIV/0!</v>
      </c>
    </row>
    <row r="129" spans="1:8" ht="16" thickBot="1" x14ac:dyDescent="0.4">
      <c r="A129" s="39"/>
      <c r="B129" s="42"/>
      <c r="C129" s="29"/>
      <c r="D129" s="29"/>
      <c r="E129" s="29"/>
      <c r="F129" s="24" t="s">
        <v>41</v>
      </c>
      <c r="H129" s="26" t="e">
        <f>H128/H126</f>
        <v>#DIV/0!</v>
      </c>
    </row>
  </sheetData>
  <mergeCells count="137">
    <mergeCell ref="A7:B7"/>
    <mergeCell ref="E7:F7"/>
    <mergeCell ref="A8:B8"/>
    <mergeCell ref="E8:F8"/>
    <mergeCell ref="A9:B9"/>
    <mergeCell ref="E9:F9"/>
    <mergeCell ref="A1:C1"/>
    <mergeCell ref="D1:H1"/>
    <mergeCell ref="E3:H3"/>
    <mergeCell ref="A5:B6"/>
    <mergeCell ref="C5:D5"/>
    <mergeCell ref="E5:H5"/>
    <mergeCell ref="E6:F6"/>
    <mergeCell ref="A14:B14"/>
    <mergeCell ref="A15:B15"/>
    <mergeCell ref="A16:B16"/>
    <mergeCell ref="E16:F16"/>
    <mergeCell ref="A17:B17"/>
    <mergeCell ref="E17:F17"/>
    <mergeCell ref="A10:B10"/>
    <mergeCell ref="E10:F10"/>
    <mergeCell ref="A11:B11"/>
    <mergeCell ref="E11:F11"/>
    <mergeCell ref="A12:B12"/>
    <mergeCell ref="A13:B13"/>
    <mergeCell ref="A22:B22"/>
    <mergeCell ref="E22:F22"/>
    <mergeCell ref="A23:B23"/>
    <mergeCell ref="E23:F23"/>
    <mergeCell ref="A24:B24"/>
    <mergeCell ref="A25:B25"/>
    <mergeCell ref="A18:B18"/>
    <mergeCell ref="A19:B19"/>
    <mergeCell ref="E19:F19"/>
    <mergeCell ref="A20:B20"/>
    <mergeCell ref="E20:F20"/>
    <mergeCell ref="A21:B21"/>
    <mergeCell ref="E21:F21"/>
    <mergeCell ref="A34:B34"/>
    <mergeCell ref="A35:B35"/>
    <mergeCell ref="E35:F35"/>
    <mergeCell ref="A44:H47"/>
    <mergeCell ref="A48:C48"/>
    <mergeCell ref="D48:H48"/>
    <mergeCell ref="A26:B26"/>
    <mergeCell ref="A28:B28"/>
    <mergeCell ref="A29:B29"/>
    <mergeCell ref="E30:F30"/>
    <mergeCell ref="A31:B31"/>
    <mergeCell ref="A32:B32"/>
    <mergeCell ref="A55:B55"/>
    <mergeCell ref="E55:F55"/>
    <mergeCell ref="A56:B56"/>
    <mergeCell ref="E56:F56"/>
    <mergeCell ref="A57:B57"/>
    <mergeCell ref="E57:F57"/>
    <mergeCell ref="E50:H50"/>
    <mergeCell ref="A52:B53"/>
    <mergeCell ref="C52:D52"/>
    <mergeCell ref="E52:H52"/>
    <mergeCell ref="E53:F53"/>
    <mergeCell ref="A54:B54"/>
    <mergeCell ref="E54:F54"/>
    <mergeCell ref="A63:B63"/>
    <mergeCell ref="E63:F63"/>
    <mergeCell ref="A64:B64"/>
    <mergeCell ref="E64:F64"/>
    <mergeCell ref="A65:B65"/>
    <mergeCell ref="A66:B66"/>
    <mergeCell ref="E66:F66"/>
    <mergeCell ref="A58:B58"/>
    <mergeCell ref="E58:F58"/>
    <mergeCell ref="A59:B59"/>
    <mergeCell ref="A60:B60"/>
    <mergeCell ref="A61:B61"/>
    <mergeCell ref="A62:B62"/>
    <mergeCell ref="A70:B70"/>
    <mergeCell ref="E70:F70"/>
    <mergeCell ref="A71:B71"/>
    <mergeCell ref="A72:B72"/>
    <mergeCell ref="A73:B73"/>
    <mergeCell ref="A74:B74"/>
    <mergeCell ref="A67:B67"/>
    <mergeCell ref="E67:F67"/>
    <mergeCell ref="A68:B68"/>
    <mergeCell ref="E68:F68"/>
    <mergeCell ref="A69:B69"/>
    <mergeCell ref="E69:F69"/>
    <mergeCell ref="A87:H90"/>
    <mergeCell ref="A91:C91"/>
    <mergeCell ref="D91:H91"/>
    <mergeCell ref="A95:B96"/>
    <mergeCell ref="C95:D95"/>
    <mergeCell ref="E95:H95"/>
    <mergeCell ref="A75:B75"/>
    <mergeCell ref="E76:F76"/>
    <mergeCell ref="A77:B77"/>
    <mergeCell ref="A78:B78"/>
    <mergeCell ref="A80:B80"/>
    <mergeCell ref="A81:B81"/>
    <mergeCell ref="E81:F81"/>
    <mergeCell ref="A101:B101"/>
    <mergeCell ref="E101:F101"/>
    <mergeCell ref="A102:B102"/>
    <mergeCell ref="A103:B103"/>
    <mergeCell ref="A104:B104"/>
    <mergeCell ref="A105:B105"/>
    <mergeCell ref="E97:F97"/>
    <mergeCell ref="A98:B98"/>
    <mergeCell ref="E98:F98"/>
    <mergeCell ref="A99:B99"/>
    <mergeCell ref="E99:F99"/>
    <mergeCell ref="A100:B100"/>
    <mergeCell ref="E100:F100"/>
    <mergeCell ref="E110:F110"/>
    <mergeCell ref="A111:B111"/>
    <mergeCell ref="E111:F111"/>
    <mergeCell ref="A112:B112"/>
    <mergeCell ref="E112:F112"/>
    <mergeCell ref="E113:F113"/>
    <mergeCell ref="E106:F106"/>
    <mergeCell ref="A107:B107"/>
    <mergeCell ref="E107:F107"/>
    <mergeCell ref="A108:B108"/>
    <mergeCell ref="A109:B109"/>
    <mergeCell ref="E109:F109"/>
    <mergeCell ref="A120:B120"/>
    <mergeCell ref="A121:B121"/>
    <mergeCell ref="A123:B123"/>
    <mergeCell ref="A124:B124"/>
    <mergeCell ref="E124:F124"/>
    <mergeCell ref="A114:B114"/>
    <mergeCell ref="A115:B115"/>
    <mergeCell ref="A116:B116"/>
    <mergeCell ref="A117:B117"/>
    <mergeCell ref="A118:B118"/>
    <mergeCell ref="E119:F119"/>
  </mergeCells>
  <hyperlinks>
    <hyperlink ref="E3" r:id="rId1" xr:uid="{2927A165-0F90-4465-B40E-BDC801CD7DB2}"/>
    <hyperlink ref="E50" r:id="rId2" xr:uid="{F9394A4E-1603-45D2-BAD2-68A56F985B90}"/>
    <hyperlink ref="E93" r:id="rId3" xr:uid="{09113C80-2D10-4868-AEC7-E6B2FB14E27E}"/>
    <hyperlink ref="D1" r:id="rId4" xr:uid="{B5CF96E0-6976-4C0D-BA6C-B9CBCE1000FA}"/>
    <hyperlink ref="D48" r:id="rId5" xr:uid="{D6FA067E-25E8-4937-B437-10B4B831A2F6}"/>
    <hyperlink ref="D91" r:id="rId6" xr:uid="{C131BC2F-6451-4720-93C3-2033C1E4DBFE}"/>
  </hyperlinks>
  <pageMargins left="0.7" right="0.7" top="0.75" bottom="0.75" header="0.3" footer="0.3"/>
  <pageSetup orientation="portrait" r:id="rId7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B9F5ADD-D3F4-4721-A92A-3A06890BFB68}">
          <x14:formula1>
            <xm:f>'Dairy - 50031'!$C$2:$C$400</xm:f>
          </x14:formula1>
          <xm:sqref>A68:B69 A111:B112</xm:sqref>
        </x14:dataValidation>
        <x14:dataValidation type="list" allowBlank="1" showInputMessage="1" showErrorMessage="1" xr:uid="{7EED72A9-F879-4E90-8C75-96487FE38D5D}">
          <x14:formula1>
            <xm:f>'Meat - 50021'!$C$2:$C$400</xm:f>
          </x14:formula1>
          <xm:sqref>A64:B66 A107:B109</xm:sqref>
        </x14:dataValidation>
        <x14:dataValidation type="list" allowBlank="1" showInputMessage="1" showErrorMessage="1" errorTitle="Item" xr:uid="{204B8F77-FCDE-40EF-B8A9-AFFB9DC4966A}">
          <x14:formula1>
            <xm:f>'Storeroom - 50011'!$C$2:$C$400</xm:f>
          </x14:formula1>
          <xm:sqref>A55:B62 A98:B105</xm:sqref>
        </x14:dataValidation>
        <x14:dataValidation type="list" allowBlank="1" showInputMessage="1" showErrorMessage="1" xr:uid="{AC6FFAD9-28C9-4361-9982-AC3A4DD16510}">
          <x14:formula1>
            <xm:f>'Frozen - 50061'!$C$2:$C$400</xm:f>
          </x14:formula1>
          <xm:sqref>A34:B35 A80:B81 A123:B124</xm:sqref>
        </x14:dataValidation>
        <x14:dataValidation type="list" allowBlank="1" showInputMessage="1" showErrorMessage="1" xr:uid="{4D1D868E-5820-41C9-AFB8-56A45D1A6EFC}">
          <x14:formula1>
            <xm:f>'Produce - 50051'!$C$2:$C$400</xm:f>
          </x14:formula1>
          <xm:sqref>A24:B29 A71:B75 A114:B118</xm:sqref>
        </x14:dataValidation>
        <x14:dataValidation type="list" allowBlank="1" showInputMessage="1" showErrorMessage="1" xr:uid="{635C6502-5075-4E62-A8D9-72E81F626D30}">
          <x14:formula1>
            <xm:f>'Dairy - 50031'!$C$2:$C$100</xm:f>
          </x14:formula1>
          <xm:sqref>A21:B22</xm:sqref>
        </x14:dataValidation>
        <x14:dataValidation type="list" allowBlank="1" showInputMessage="1" showErrorMessage="1" xr:uid="{B4741E40-E19B-43A2-B6AE-1FEBBA4A0386}">
          <x14:formula1>
            <xm:f>'Meat - 50021'!$C$2:$C$110</xm:f>
          </x14:formula1>
          <xm:sqref>A17:B17</xm:sqref>
        </x14:dataValidation>
        <x14:dataValidation type="list" allowBlank="1" showInputMessage="1" showErrorMessage="1" errorTitle="Item" xr:uid="{5CD74FC8-198D-49D5-B8E7-F0785A46BA57}">
          <x14:formula1>
            <xm:f>'Storeroom - 50011'!$C$2:$C$309</xm:f>
          </x14:formula1>
          <xm:sqref>A8:B15</xm:sqref>
        </x14:dataValidation>
        <x14:dataValidation type="list" allowBlank="1" showInputMessage="1" showErrorMessage="1" xr:uid="{DE4908C7-D10E-4F3A-98FD-67B4D43E7B9F}">
          <x14:formula1>
            <xm:f>'Bakery - 50041'!$C$2:$C$400</xm:f>
          </x14:formula1>
          <xm:sqref>A31:B32 A77:B78 A120:B121</xm:sqref>
        </x14:dataValidation>
        <x14:dataValidation type="list" allowBlank="1" showInputMessage="1" showErrorMessage="1" xr:uid="{0A333D89-C522-4787-8B81-30E522C5453C}">
          <x14:formula1>
            <xm:f>'Meat - 50021'!$C$2:$C$96</xm:f>
          </x14:formula1>
          <xm:sqref>A18:B19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C31E-25B6-4A57-98EF-E464B5613A21}">
  <sheetPr codeName="Sheet13"/>
  <dimension ref="A1:J128"/>
  <sheetViews>
    <sheetView workbookViewId="0">
      <selection activeCell="E5" sqref="E5:H5"/>
    </sheetView>
  </sheetViews>
  <sheetFormatPr defaultColWidth="9.1796875" defaultRowHeight="14.5" x14ac:dyDescent="0.35"/>
  <cols>
    <col min="1" max="1" width="18.1796875" style="54" customWidth="1"/>
    <col min="2" max="2" width="16.453125" style="54" customWidth="1"/>
    <col min="3" max="3" width="13.453125" style="54" customWidth="1"/>
    <col min="4" max="4" width="12.453125" style="54" customWidth="1"/>
    <col min="5" max="5" width="6" style="54" customWidth="1"/>
    <col min="6" max="6" width="1.26953125" style="54" customWidth="1"/>
    <col min="7" max="7" width="9.1796875" style="54"/>
    <col min="8" max="8" width="12" style="54" customWidth="1"/>
    <col min="9" max="9" width="9.1796875" style="54"/>
    <col min="10" max="10" width="13.26953125" style="54" customWidth="1"/>
    <col min="11" max="16384" width="9.1796875" style="54"/>
  </cols>
  <sheetData>
    <row r="1" spans="1:10" ht="25.5" customHeight="1" x14ac:dyDescent="0.35">
      <c r="A1" s="159" t="s">
        <v>7</v>
      </c>
      <c r="B1" s="159"/>
      <c r="C1" s="159"/>
      <c r="D1" s="160" t="s">
        <v>8</v>
      </c>
      <c r="E1" s="160"/>
      <c r="F1" s="160"/>
      <c r="G1" s="160"/>
      <c r="H1" s="160"/>
    </row>
    <row r="2" spans="1:10" ht="15.5" x14ac:dyDescent="0.35">
      <c r="A2" s="4" t="s">
        <v>9</v>
      </c>
      <c r="B2" s="5" t="s">
        <v>6</v>
      </c>
      <c r="C2" s="3"/>
      <c r="D2" s="3"/>
      <c r="E2" s="95" t="s">
        <v>10</v>
      </c>
      <c r="F2" s="96"/>
      <c r="G2" s="96"/>
      <c r="H2" s="97"/>
    </row>
    <row r="3" spans="1:10" ht="15.5" x14ac:dyDescent="0.35">
      <c r="A3" s="6" t="s">
        <v>11</v>
      </c>
      <c r="B3" s="5" t="s">
        <v>1</v>
      </c>
      <c r="C3" s="4" t="s">
        <v>12</v>
      </c>
      <c r="D3" s="7">
        <v>1</v>
      </c>
      <c r="E3" s="146" t="s">
        <v>13</v>
      </c>
      <c r="F3" s="147"/>
      <c r="G3" s="147"/>
      <c r="H3" s="148"/>
      <c r="I3" s="3"/>
    </row>
    <row r="4" spans="1:10" ht="15.5" x14ac:dyDescent="0.35">
      <c r="A4" s="4" t="s">
        <v>14</v>
      </c>
      <c r="B4" s="34"/>
      <c r="C4" s="4" t="s">
        <v>15</v>
      </c>
      <c r="D4" s="7">
        <v>1</v>
      </c>
      <c r="E4" s="5" t="s">
        <v>2</v>
      </c>
      <c r="H4" s="3"/>
      <c r="I4" s="3"/>
      <c r="J4" s="3"/>
    </row>
    <row r="5" spans="1:10" ht="15.5" x14ac:dyDescent="0.35">
      <c r="A5" s="149" t="s">
        <v>16</v>
      </c>
      <c r="B5" s="150"/>
      <c r="C5" s="153" t="s">
        <v>17</v>
      </c>
      <c r="D5" s="154"/>
      <c r="E5" s="140" t="s">
        <v>18</v>
      </c>
      <c r="F5" s="141"/>
      <c r="G5" s="141"/>
      <c r="H5" s="142"/>
      <c r="I5" s="3"/>
      <c r="J5" s="3"/>
    </row>
    <row r="6" spans="1:10" ht="15.5" x14ac:dyDescent="0.35">
      <c r="A6" s="151"/>
      <c r="B6" s="152"/>
      <c r="C6" s="8" t="s">
        <v>19</v>
      </c>
      <c r="D6" s="8" t="s">
        <v>20</v>
      </c>
      <c r="E6" s="155"/>
      <c r="F6" s="156"/>
      <c r="G6" s="92" t="s">
        <v>21</v>
      </c>
      <c r="H6" s="93" t="s">
        <v>22</v>
      </c>
      <c r="I6" s="32"/>
      <c r="J6" s="32"/>
    </row>
    <row r="7" spans="1:10" ht="15.5" x14ac:dyDescent="0.35">
      <c r="A7" s="157" t="s">
        <v>23</v>
      </c>
      <c r="B7" s="158"/>
      <c r="C7" s="14"/>
      <c r="D7" s="15"/>
      <c r="E7" s="128">
        <f>(H7+H96+H53)/H35</f>
        <v>6.4032008717100769E-2</v>
      </c>
      <c r="F7" s="129"/>
      <c r="G7" s="17" t="s">
        <v>24</v>
      </c>
      <c r="H7" s="22">
        <f>SUM(H8:H15)</f>
        <v>0</v>
      </c>
      <c r="I7" s="33"/>
      <c r="J7" s="33"/>
    </row>
    <row r="8" spans="1:10" ht="15.5" x14ac:dyDescent="0.35">
      <c r="A8" s="118"/>
      <c r="B8" s="145"/>
      <c r="C8" s="19"/>
      <c r="D8" s="9" t="s">
        <v>25</v>
      </c>
      <c r="E8" s="126"/>
      <c r="F8" s="127"/>
      <c r="G8" s="21" t="e">
        <f>VLOOKUP(A8,'Storeroom - 50011'!$C$2:$J$400, 8, FALSE)</f>
        <v>#N/A</v>
      </c>
      <c r="H8" s="10"/>
      <c r="I8" s="33"/>
      <c r="J8" s="33"/>
    </row>
    <row r="9" spans="1:10" ht="15.5" x14ac:dyDescent="0.35">
      <c r="A9" s="118"/>
      <c r="B9" s="145"/>
      <c r="C9" s="19"/>
      <c r="D9" s="9" t="s">
        <v>25</v>
      </c>
      <c r="E9" s="126"/>
      <c r="F9" s="127"/>
      <c r="G9" s="21" t="e">
        <f>VLOOKUP(A9,'Storeroom - 50011'!$C$2:$J$400, 8, FALSE)</f>
        <v>#N/A</v>
      </c>
      <c r="H9" s="10"/>
      <c r="I9" s="33"/>
      <c r="J9" s="33"/>
    </row>
    <row r="10" spans="1:10" ht="15.5" x14ac:dyDescent="0.35">
      <c r="A10" s="118"/>
      <c r="B10" s="145"/>
      <c r="C10" s="19"/>
      <c r="D10" s="9" t="s">
        <v>25</v>
      </c>
      <c r="E10" s="126"/>
      <c r="F10" s="127"/>
      <c r="G10" s="21" t="e">
        <f>VLOOKUP(A10,'Storeroom - 50011'!$C$2:$J$400, 8, FALSE)</f>
        <v>#N/A</v>
      </c>
      <c r="H10" s="10"/>
      <c r="I10" s="33"/>
      <c r="J10" s="33"/>
    </row>
    <row r="11" spans="1:10" ht="15.5" x14ac:dyDescent="0.35">
      <c r="A11" s="118"/>
      <c r="B11" s="145"/>
      <c r="C11" s="19"/>
      <c r="D11" s="9" t="s">
        <v>25</v>
      </c>
      <c r="E11" s="126"/>
      <c r="F11" s="127"/>
      <c r="G11" s="21" t="e">
        <f>VLOOKUP(A11,'Storeroom - 50011'!$C$2:$J$400, 8, FALSE)</f>
        <v>#N/A</v>
      </c>
      <c r="H11" s="10"/>
      <c r="I11" s="33"/>
      <c r="J11" s="33"/>
    </row>
    <row r="12" spans="1:10" ht="15.5" x14ac:dyDescent="0.35">
      <c r="A12" s="118"/>
      <c r="B12" s="145"/>
      <c r="C12" s="19"/>
      <c r="D12" s="9" t="s">
        <v>25</v>
      </c>
      <c r="E12" s="108"/>
      <c r="F12" s="109"/>
      <c r="G12" s="21" t="e">
        <f>VLOOKUP(A12,'Storeroom - 50011'!$C$2:$J$400, 8, FALSE)</f>
        <v>#N/A</v>
      </c>
      <c r="H12" s="10"/>
      <c r="I12" s="33"/>
      <c r="J12" s="33"/>
    </row>
    <row r="13" spans="1:10" ht="15.5" x14ac:dyDescent="0.35">
      <c r="A13" s="118"/>
      <c r="B13" s="145"/>
      <c r="C13" s="19"/>
      <c r="D13" s="9" t="s">
        <v>25</v>
      </c>
      <c r="E13" s="108"/>
      <c r="F13" s="109"/>
      <c r="G13" s="21" t="e">
        <f>VLOOKUP(A13,'Storeroom - 50011'!$C$2:$J$400, 8, FALSE)</f>
        <v>#N/A</v>
      </c>
      <c r="H13" s="10"/>
      <c r="I13" s="33"/>
      <c r="J13" s="33"/>
    </row>
    <row r="14" spans="1:10" ht="15.5" x14ac:dyDescent="0.35">
      <c r="A14" s="118"/>
      <c r="B14" s="145"/>
      <c r="C14" s="19"/>
      <c r="D14" s="9" t="s">
        <v>25</v>
      </c>
      <c r="E14" s="108"/>
      <c r="F14" s="109"/>
      <c r="G14" s="21" t="e">
        <f>VLOOKUP(A14,'Storeroom - 50011'!$C$2:$J$400, 8, FALSE)</f>
        <v>#N/A</v>
      </c>
      <c r="H14" s="10"/>
      <c r="I14" s="33"/>
      <c r="J14" s="33"/>
    </row>
    <row r="15" spans="1:10" ht="15.5" x14ac:dyDescent="0.35">
      <c r="A15" s="118"/>
      <c r="B15" s="145"/>
      <c r="C15" s="19"/>
      <c r="D15" s="9" t="s">
        <v>25</v>
      </c>
      <c r="E15" s="108"/>
      <c r="F15" s="109"/>
      <c r="G15" s="21" t="e">
        <f>VLOOKUP(A15,'Storeroom - 50011'!$C$2:$J$400, 8, FALSE)</f>
        <v>#N/A</v>
      </c>
      <c r="H15" s="10"/>
      <c r="I15" s="33"/>
      <c r="J15" s="33"/>
    </row>
    <row r="16" spans="1:10" ht="15.5" x14ac:dyDescent="0.35">
      <c r="A16" s="143" t="s">
        <v>26</v>
      </c>
      <c r="B16" s="144"/>
      <c r="C16" s="16"/>
      <c r="D16" s="15"/>
      <c r="E16" s="124">
        <f>(H16+H62+H105)/H35</f>
        <v>0.45044530980211606</v>
      </c>
      <c r="F16" s="125"/>
      <c r="G16" s="27" t="s">
        <v>24</v>
      </c>
      <c r="H16" s="22">
        <f>SUM(H17:H19)</f>
        <v>1.2153846153846155</v>
      </c>
      <c r="I16" s="33"/>
      <c r="J16" s="33"/>
    </row>
    <row r="17" spans="1:10" ht="15.5" x14ac:dyDescent="0.35">
      <c r="A17" s="118" t="s">
        <v>94</v>
      </c>
      <c r="B17" s="145"/>
      <c r="C17" s="13">
        <v>4</v>
      </c>
      <c r="D17" s="9" t="s">
        <v>25</v>
      </c>
      <c r="E17" s="126"/>
      <c r="F17" s="127"/>
      <c r="G17" s="21">
        <f>VLOOKUP(A17,'Meat - 50021'!$C$2:$L$400, 10, FALSE)</f>
        <v>0.30384615384615388</v>
      </c>
      <c r="H17" s="10">
        <f>G17*C17</f>
        <v>1.2153846153846155</v>
      </c>
      <c r="I17" s="33"/>
      <c r="J17" s="33"/>
    </row>
    <row r="18" spans="1:10" ht="15.5" x14ac:dyDescent="0.35">
      <c r="A18" s="118"/>
      <c r="B18" s="145"/>
      <c r="C18" s="13"/>
      <c r="D18" s="9" t="s">
        <v>25</v>
      </c>
      <c r="E18" s="108"/>
      <c r="F18" s="109"/>
      <c r="G18" s="21" t="e">
        <f>VLOOKUP(A18,'Meat - 50021'!$C$2:$L$400, 10, FALSE)</f>
        <v>#N/A</v>
      </c>
      <c r="H18" s="10"/>
      <c r="I18" s="33"/>
      <c r="J18" s="33"/>
    </row>
    <row r="19" spans="1:10" ht="15.5" x14ac:dyDescent="0.35">
      <c r="A19" s="118"/>
      <c r="B19" s="145"/>
      <c r="C19" s="13"/>
      <c r="D19" s="9" t="s">
        <v>25</v>
      </c>
      <c r="E19" s="126"/>
      <c r="F19" s="127"/>
      <c r="G19" s="21" t="e">
        <f>VLOOKUP(A19,'Meat - 50021'!$C$2:$L$400, 10, FALSE)</f>
        <v>#N/A</v>
      </c>
      <c r="H19" s="10"/>
      <c r="I19" s="33"/>
      <c r="J19" s="33"/>
    </row>
    <row r="20" spans="1:10" ht="15.5" x14ac:dyDescent="0.35">
      <c r="A20" s="143" t="s">
        <v>27</v>
      </c>
      <c r="B20" s="144"/>
      <c r="C20" s="16"/>
      <c r="D20" s="15"/>
      <c r="E20" s="124">
        <f>(H20+H66+H109)/H35</f>
        <v>4.061155164323945E-2</v>
      </c>
      <c r="F20" s="125"/>
      <c r="G20" s="27" t="s">
        <v>24</v>
      </c>
      <c r="H20" s="22">
        <f>SUM(H21:H22)</f>
        <v>0.1095774647887324</v>
      </c>
      <c r="I20" s="33"/>
      <c r="J20" s="33"/>
    </row>
    <row r="21" spans="1:10" ht="15.5" x14ac:dyDescent="0.35">
      <c r="A21" s="118" t="s">
        <v>95</v>
      </c>
      <c r="B21" s="145"/>
      <c r="C21" s="13">
        <v>0.75</v>
      </c>
      <c r="D21" s="9" t="s">
        <v>25</v>
      </c>
      <c r="E21" s="126"/>
      <c r="F21" s="127"/>
      <c r="G21" s="21">
        <f>VLOOKUP(A21,'Dairy - 50031'!$C$2:$J$400,8, FALSE)</f>
        <v>0.14610328638497652</v>
      </c>
      <c r="H21" s="10">
        <f>G21*C21</f>
        <v>0.1095774647887324</v>
      </c>
      <c r="I21" s="33"/>
      <c r="J21" s="33"/>
    </row>
    <row r="22" spans="1:10" ht="15.5" x14ac:dyDescent="0.35">
      <c r="A22" s="118"/>
      <c r="B22" s="145"/>
      <c r="C22" s="13"/>
      <c r="D22" s="9" t="s">
        <v>29</v>
      </c>
      <c r="E22" s="126"/>
      <c r="F22" s="127"/>
      <c r="G22" s="21" t="e">
        <f>VLOOKUP(A22,'Dairy - 50031'!$C$2:$J$400,8, FALSE)</f>
        <v>#N/A</v>
      </c>
      <c r="H22" s="10"/>
      <c r="I22" s="33"/>
      <c r="J22" s="33"/>
    </row>
    <row r="23" spans="1:10" ht="15.5" x14ac:dyDescent="0.35">
      <c r="A23" s="143" t="s">
        <v>30</v>
      </c>
      <c r="B23" s="144"/>
      <c r="C23" s="16"/>
      <c r="D23" s="15"/>
      <c r="E23" s="124">
        <f>(H23+H69+H112)/H35</f>
        <v>0.22315709388327418</v>
      </c>
      <c r="F23" s="125"/>
      <c r="G23" s="27" t="s">
        <v>24</v>
      </c>
      <c r="H23" s="22">
        <f>SUM(H24:H28)</f>
        <v>0.41210995370370374</v>
      </c>
      <c r="I23" s="33"/>
      <c r="J23" s="33"/>
    </row>
    <row r="24" spans="1:10" ht="15.5" x14ac:dyDescent="0.35">
      <c r="A24" s="118" t="s">
        <v>87</v>
      </c>
      <c r="B24" s="119"/>
      <c r="C24" s="13">
        <v>2</v>
      </c>
      <c r="D24" s="9" t="s">
        <v>25</v>
      </c>
      <c r="E24" s="108"/>
      <c r="F24" s="109"/>
      <c r="G24" s="21">
        <f>VLOOKUP(A24,'Produce - 50051'!$C$2:$L$400, 10, FALSE)</f>
        <v>0.158203125</v>
      </c>
      <c r="H24" s="10">
        <f t="shared" ref="H24:H25" si="0">C24*G24</f>
        <v>0.31640625</v>
      </c>
      <c r="I24" s="33"/>
      <c r="J24" s="33"/>
    </row>
    <row r="25" spans="1:10" ht="15.5" x14ac:dyDescent="0.35">
      <c r="A25" s="118" t="s">
        <v>67</v>
      </c>
      <c r="B25" s="119"/>
      <c r="C25" s="13">
        <v>2</v>
      </c>
      <c r="D25" s="9" t="s">
        <v>96</v>
      </c>
      <c r="E25" s="108"/>
      <c r="F25" s="109"/>
      <c r="G25" s="21">
        <f>VLOOKUP(A25,'Produce - 50051'!$C$2:$L$400, 10, FALSE)</f>
        <v>4.7851851851851854E-2</v>
      </c>
      <c r="H25" s="10">
        <f t="shared" si="0"/>
        <v>9.5703703703703707E-2</v>
      </c>
      <c r="I25" s="33"/>
      <c r="J25" s="33"/>
    </row>
    <row r="26" spans="1:10" ht="15.5" x14ac:dyDescent="0.35">
      <c r="A26" s="118"/>
      <c r="B26" s="119"/>
      <c r="C26" s="13"/>
      <c r="D26" s="9" t="s">
        <v>25</v>
      </c>
      <c r="E26" s="108"/>
      <c r="F26" s="109"/>
      <c r="G26" s="21" t="e">
        <f>VLOOKUP(A26,'Produce - 50051'!$C$2:$L$400, 10, FALSE)</f>
        <v>#N/A</v>
      </c>
      <c r="H26" s="10"/>
      <c r="I26" s="33"/>
      <c r="J26" s="33"/>
    </row>
    <row r="27" spans="1:10" ht="15.5" x14ac:dyDescent="0.35">
      <c r="A27" s="118"/>
      <c r="B27" s="119"/>
      <c r="C27" s="13"/>
      <c r="D27" s="9" t="s">
        <v>25</v>
      </c>
      <c r="E27" s="108"/>
      <c r="F27" s="109"/>
      <c r="G27" s="21" t="e">
        <f>VLOOKUP(A27,'Produce - 50051'!$C$2:$L$400, 10, FALSE)</f>
        <v>#N/A</v>
      </c>
      <c r="H27" s="10"/>
      <c r="I27" s="33"/>
      <c r="J27" s="33"/>
    </row>
    <row r="28" spans="1:10" ht="15.5" x14ac:dyDescent="0.35">
      <c r="A28" s="118"/>
      <c r="B28" s="119"/>
      <c r="C28" s="13"/>
      <c r="D28" s="9" t="s">
        <v>25</v>
      </c>
      <c r="E28" s="108"/>
      <c r="F28" s="109"/>
      <c r="G28" s="21" t="e">
        <f>VLOOKUP(A28,'Produce - 50051'!$C$2:$L$400, 10, FALSE)</f>
        <v>#N/A</v>
      </c>
      <c r="H28" s="10"/>
      <c r="I28" s="33"/>
      <c r="J28" s="33"/>
    </row>
    <row r="29" spans="1:10" ht="15.5" x14ac:dyDescent="0.35">
      <c r="A29" s="114" t="s">
        <v>34</v>
      </c>
      <c r="B29" s="115"/>
      <c r="C29" s="16"/>
      <c r="D29" s="15"/>
      <c r="E29" s="122">
        <f>(H29+H75+H118)/H35</f>
        <v>0.22175403595426954</v>
      </c>
      <c r="F29" s="123"/>
      <c r="G29" s="27" t="s">
        <v>24</v>
      </c>
      <c r="H29" s="22">
        <f>SUM(H30:H34)</f>
        <v>0.59833333333333327</v>
      </c>
      <c r="I29" s="33"/>
      <c r="J29" s="33"/>
    </row>
    <row r="30" spans="1:10" ht="15.5" x14ac:dyDescent="0.35">
      <c r="A30" s="118" t="s">
        <v>93</v>
      </c>
      <c r="B30" s="119"/>
      <c r="C30" s="13">
        <v>1</v>
      </c>
      <c r="D30" s="9" t="s">
        <v>29</v>
      </c>
      <c r="E30" s="108"/>
      <c r="F30" s="109"/>
      <c r="G30" s="21">
        <f>VLOOKUP(A30,'Bakery - 50041'!$C$2:$J$400, 8, FALSE)</f>
        <v>0.59833333333333327</v>
      </c>
      <c r="H30" s="10">
        <f>G30*C30</f>
        <v>0.59833333333333327</v>
      </c>
      <c r="I30" s="33"/>
      <c r="J30" s="33"/>
    </row>
    <row r="31" spans="1:10" ht="15.5" x14ac:dyDescent="0.35">
      <c r="A31" s="118"/>
      <c r="B31" s="119"/>
      <c r="C31" s="13"/>
      <c r="D31" s="9" t="s">
        <v>25</v>
      </c>
      <c r="E31" s="108"/>
      <c r="F31" s="109"/>
      <c r="G31" s="21" t="e">
        <f>VLOOKUP(A31,'Bakery - 50041'!$C$2:$J$400, 8, FALSE)</f>
        <v>#N/A</v>
      </c>
      <c r="H31" s="10"/>
      <c r="I31" s="33"/>
      <c r="J31" s="33"/>
    </row>
    <row r="32" spans="1:10" ht="15.5" x14ac:dyDescent="0.35">
      <c r="A32" s="114" t="s">
        <v>35</v>
      </c>
      <c r="B32" s="115"/>
      <c r="C32" s="16"/>
      <c r="D32" s="15"/>
      <c r="E32" s="116">
        <f>(H32+H78+H121)/H35</f>
        <v>0</v>
      </c>
      <c r="F32" s="18"/>
      <c r="G32" s="27" t="s">
        <v>24</v>
      </c>
      <c r="H32" s="22">
        <f>SUM(H33:H34)</f>
        <v>0</v>
      </c>
      <c r="I32" s="33"/>
      <c r="J32" s="33"/>
    </row>
    <row r="33" spans="1:10" ht="15.5" x14ac:dyDescent="0.35">
      <c r="A33" s="118"/>
      <c r="B33" s="119"/>
      <c r="C33" s="13"/>
      <c r="D33" s="9" t="s">
        <v>25</v>
      </c>
      <c r="E33" s="108"/>
      <c r="F33" s="109"/>
      <c r="G33" s="21" t="e">
        <f>VLOOKUP(A33,'Frozen - 50061'!$C$2:$J$400, 8, FALSE)</f>
        <v>#N/A</v>
      </c>
      <c r="H33" s="10"/>
      <c r="I33" s="33"/>
      <c r="J33" s="33"/>
    </row>
    <row r="34" spans="1:10" ht="15.5" x14ac:dyDescent="0.35">
      <c r="A34" s="118"/>
      <c r="B34" s="119"/>
      <c r="C34" s="36"/>
      <c r="D34" s="37" t="s">
        <v>25</v>
      </c>
      <c r="E34" s="120"/>
      <c r="F34" s="121"/>
      <c r="G34" s="21" t="e">
        <f>VLOOKUP(A34,'Frozen - 50061'!$C$2:$J$400, 8, FALSE)</f>
        <v>#N/A</v>
      </c>
      <c r="H34" s="10"/>
      <c r="I34" s="33"/>
      <c r="J34" s="33"/>
    </row>
    <row r="35" spans="1:10" ht="15.5" x14ac:dyDescent="0.35">
      <c r="A35" s="30" t="str">
        <f>A7</f>
        <v>Storeroom PL ()</v>
      </c>
      <c r="B35" s="40">
        <f>E7</f>
        <v>6.4032008717100769E-2</v>
      </c>
      <c r="C35" s="31"/>
      <c r="D35" s="31"/>
      <c r="E35" s="31"/>
      <c r="F35" s="4" t="s">
        <v>37</v>
      </c>
      <c r="G35" s="4"/>
      <c r="H35" s="35">
        <f>H32+H29+H23+H20+H16+H7+H81+H124</f>
        <v>2.6981846384826227</v>
      </c>
    </row>
    <row r="36" spans="1:10" ht="15.5" x14ac:dyDescent="0.35">
      <c r="A36" s="38" t="str">
        <f>A16</f>
        <v>Meat PL ()</v>
      </c>
      <c r="B36" s="41">
        <f>E16</f>
        <v>0.45044530980211606</v>
      </c>
      <c r="C36" s="29"/>
      <c r="D36" s="29"/>
      <c r="E36" s="29"/>
      <c r="F36" s="4" t="s">
        <v>38</v>
      </c>
      <c r="G36" s="4"/>
      <c r="H36" s="12">
        <v>5</v>
      </c>
    </row>
    <row r="37" spans="1:10" ht="15.5" x14ac:dyDescent="0.35">
      <c r="A37" s="39" t="str">
        <f>A20</f>
        <v>Dairy PL ()</v>
      </c>
      <c r="B37" s="42">
        <f>E20</f>
        <v>4.061155164323945E-2</v>
      </c>
      <c r="C37" s="29"/>
      <c r="D37" s="29"/>
      <c r="E37" s="29"/>
      <c r="F37" s="4" t="s">
        <v>39</v>
      </c>
      <c r="G37" s="4"/>
      <c r="H37" s="11">
        <f>H35/D3</f>
        <v>2.6981846384826227</v>
      </c>
    </row>
    <row r="38" spans="1:10" ht="15.5" x14ac:dyDescent="0.35">
      <c r="A38" s="39" t="str">
        <f>A23</f>
        <v>Produce PL ()</v>
      </c>
      <c r="B38" s="42">
        <f>E23</f>
        <v>0.22315709388327418</v>
      </c>
      <c r="C38" s="29"/>
      <c r="D38" s="29"/>
      <c r="E38" s="29"/>
      <c r="F38" s="23" t="s">
        <v>40</v>
      </c>
      <c r="H38" s="25">
        <f>H36-H37</f>
        <v>2.3018153615173773</v>
      </c>
    </row>
    <row r="39" spans="1:10" ht="15.5" x14ac:dyDescent="0.35">
      <c r="A39" s="39" t="str">
        <f>A29</f>
        <v>Bakery PL ()</v>
      </c>
      <c r="B39" s="42">
        <f>E29</f>
        <v>0.22175403595426954</v>
      </c>
      <c r="C39" s="29"/>
      <c r="D39" s="29"/>
      <c r="E39" s="29"/>
      <c r="F39" s="24" t="s">
        <v>41</v>
      </c>
      <c r="H39" s="26">
        <f>H38/H36</f>
        <v>0.46036307230347545</v>
      </c>
    </row>
    <row r="40" spans="1:10" ht="15.5" x14ac:dyDescent="0.35">
      <c r="A40" s="39" t="str">
        <f>A32</f>
        <v>Frozen PL ()</v>
      </c>
      <c r="B40" s="42">
        <f>E32</f>
        <v>0</v>
      </c>
      <c r="C40" s="29"/>
      <c r="D40" s="29"/>
      <c r="E40" s="29"/>
      <c r="F40" s="24" t="s">
        <v>42</v>
      </c>
      <c r="H40" s="26">
        <f>(H38/H37)</f>
        <v>0.85309779348971781</v>
      </c>
    </row>
    <row r="41" spans="1:10" ht="18.5" x14ac:dyDescent="0.35">
      <c r="A41" s="89" t="s">
        <v>24</v>
      </c>
      <c r="B41" s="90">
        <f>SUM(B35:B40)</f>
        <v>1</v>
      </c>
      <c r="C41" s="29"/>
      <c r="D41" s="29"/>
      <c r="E41" s="29"/>
      <c r="F41" s="29"/>
      <c r="G41" s="29"/>
      <c r="J41" s="20"/>
    </row>
    <row r="42" spans="1:10" x14ac:dyDescent="0.35">
      <c r="A42" s="29"/>
      <c r="B42" s="29"/>
      <c r="C42" s="29"/>
      <c r="D42" s="29"/>
      <c r="E42" s="29"/>
      <c r="F42" s="29"/>
      <c r="G42" s="29"/>
    </row>
    <row r="43" spans="1:10" x14ac:dyDescent="0.35">
      <c r="A43" s="130" t="s">
        <v>43</v>
      </c>
      <c r="B43" s="130"/>
      <c r="C43" s="130"/>
      <c r="D43" s="130"/>
      <c r="E43" s="130"/>
      <c r="F43" s="130"/>
      <c r="G43" s="130"/>
      <c r="H43" s="130"/>
    </row>
    <row r="44" spans="1:10" x14ac:dyDescent="0.35">
      <c r="A44" s="130"/>
      <c r="B44" s="130"/>
      <c r="C44" s="130"/>
      <c r="D44" s="130"/>
      <c r="E44" s="130"/>
      <c r="F44" s="130"/>
      <c r="G44" s="130"/>
      <c r="H44" s="130"/>
    </row>
    <row r="45" spans="1:10" x14ac:dyDescent="0.35">
      <c r="A45" s="130"/>
      <c r="B45" s="130"/>
      <c r="C45" s="130"/>
      <c r="D45" s="130"/>
      <c r="E45" s="130"/>
      <c r="F45" s="130"/>
      <c r="G45" s="130"/>
      <c r="H45" s="130"/>
    </row>
    <row r="46" spans="1:10" x14ac:dyDescent="0.35">
      <c r="A46" s="131"/>
      <c r="B46" s="131"/>
      <c r="C46" s="131"/>
      <c r="D46" s="131"/>
      <c r="E46" s="131"/>
      <c r="F46" s="131"/>
      <c r="G46" s="131"/>
      <c r="H46" s="131"/>
    </row>
    <row r="47" spans="1:10" ht="26" x14ac:dyDescent="0.35">
      <c r="A47" s="132" t="s">
        <v>7</v>
      </c>
      <c r="B47" s="132"/>
      <c r="C47" s="132"/>
      <c r="D47" s="133" t="s">
        <v>8</v>
      </c>
      <c r="E47" s="133"/>
      <c r="F47" s="133"/>
      <c r="G47" s="133"/>
      <c r="H47" s="133"/>
    </row>
    <row r="48" spans="1:10" ht="15.5" x14ac:dyDescent="0.35">
      <c r="A48" s="4" t="s">
        <v>9</v>
      </c>
      <c r="B48" s="5" t="s">
        <v>97</v>
      </c>
      <c r="C48" s="3"/>
      <c r="D48" s="3"/>
      <c r="E48" s="95" t="s">
        <v>10</v>
      </c>
      <c r="F48" s="96"/>
      <c r="G48" s="96"/>
      <c r="H48" s="97"/>
    </row>
    <row r="49" spans="1:8" ht="15.5" x14ac:dyDescent="0.35">
      <c r="A49" s="6" t="s">
        <v>11</v>
      </c>
      <c r="B49" s="5"/>
      <c r="C49" s="4" t="s">
        <v>12</v>
      </c>
      <c r="D49" s="7"/>
      <c r="E49" s="146" t="s">
        <v>13</v>
      </c>
      <c r="F49" s="147"/>
      <c r="G49" s="147"/>
      <c r="H49" s="148"/>
    </row>
    <row r="50" spans="1:8" ht="15.5" x14ac:dyDescent="0.35">
      <c r="A50" s="4" t="s">
        <v>14</v>
      </c>
      <c r="B50" s="34"/>
      <c r="C50" s="4" t="s">
        <v>15</v>
      </c>
      <c r="D50" s="7"/>
      <c r="E50" s="5" t="s">
        <v>45</v>
      </c>
      <c r="H50" s="3"/>
    </row>
    <row r="51" spans="1:8" ht="15.5" x14ac:dyDescent="0.35">
      <c r="A51" s="149" t="s">
        <v>16</v>
      </c>
      <c r="B51" s="150"/>
      <c r="C51" s="153" t="s">
        <v>17</v>
      </c>
      <c r="D51" s="154"/>
      <c r="E51" s="140" t="s">
        <v>18</v>
      </c>
      <c r="F51" s="141"/>
      <c r="G51" s="141"/>
      <c r="H51" s="142"/>
    </row>
    <row r="52" spans="1:8" ht="15.5" x14ac:dyDescent="0.35">
      <c r="A52" s="151"/>
      <c r="B52" s="152"/>
      <c r="C52" s="8" t="s">
        <v>19</v>
      </c>
      <c r="D52" s="8" t="s">
        <v>20</v>
      </c>
      <c r="E52" s="155"/>
      <c r="F52" s="156"/>
      <c r="G52" s="92" t="s">
        <v>21</v>
      </c>
      <c r="H52" s="93" t="s">
        <v>22</v>
      </c>
    </row>
    <row r="53" spans="1:8" ht="15.5" x14ac:dyDescent="0.35">
      <c r="A53" s="157" t="s">
        <v>23</v>
      </c>
      <c r="B53" s="158"/>
      <c r="C53" s="14"/>
      <c r="D53" s="15"/>
      <c r="E53" s="128">
        <f>H53/$H$81</f>
        <v>0.11702642698560481</v>
      </c>
      <c r="F53" s="129"/>
      <c r="G53" s="17" t="s">
        <v>24</v>
      </c>
      <c r="H53" s="22">
        <f>SUM(H54:H61)</f>
        <v>1.7929687499999999E-2</v>
      </c>
    </row>
    <row r="54" spans="1:8" ht="15.5" x14ac:dyDescent="0.35">
      <c r="A54" s="118" t="s">
        <v>48</v>
      </c>
      <c r="B54" s="145"/>
      <c r="C54" s="19">
        <v>0.2</v>
      </c>
      <c r="D54" s="9" t="s">
        <v>25</v>
      </c>
      <c r="E54" s="126"/>
      <c r="F54" s="127"/>
      <c r="G54" s="21">
        <f>VLOOKUP(A54,'Storeroom - 50011'!$C$2:$J$400, 8, FALSE)</f>
        <v>8.9648437499999997E-2</v>
      </c>
      <c r="H54" s="10">
        <f>G54*C54</f>
        <v>1.7929687499999999E-2</v>
      </c>
    </row>
    <row r="55" spans="1:8" ht="15.5" x14ac:dyDescent="0.35">
      <c r="A55" s="118"/>
      <c r="B55" s="145"/>
      <c r="C55" s="19"/>
      <c r="D55" s="9" t="s">
        <v>25</v>
      </c>
      <c r="E55" s="126"/>
      <c r="F55" s="127"/>
      <c r="G55" s="21" t="e">
        <f>VLOOKUP(A55,'Storeroom - 50011'!$C$2:$J$400, 8, FALSE)</f>
        <v>#N/A</v>
      </c>
      <c r="H55" s="10"/>
    </row>
    <row r="56" spans="1:8" ht="15.5" x14ac:dyDescent="0.35">
      <c r="A56" s="118"/>
      <c r="B56" s="145"/>
      <c r="C56" s="19"/>
      <c r="D56" s="9" t="s">
        <v>25</v>
      </c>
      <c r="E56" s="126"/>
      <c r="F56" s="127"/>
      <c r="G56" s="21" t="e">
        <f>VLOOKUP(A56,'Storeroom - 50011'!$C$2:$J$400, 8, FALSE)</f>
        <v>#N/A</v>
      </c>
      <c r="H56" s="10"/>
    </row>
    <row r="57" spans="1:8" ht="15.5" x14ac:dyDescent="0.35">
      <c r="A57" s="118"/>
      <c r="B57" s="145"/>
      <c r="C57" s="19"/>
      <c r="D57" s="9" t="s">
        <v>25</v>
      </c>
      <c r="E57" s="126"/>
      <c r="F57" s="127"/>
      <c r="G57" s="21" t="e">
        <f>VLOOKUP(A57,'Storeroom - 50011'!$C$2:$J$400, 8, FALSE)</f>
        <v>#N/A</v>
      </c>
      <c r="H57" s="10"/>
    </row>
    <row r="58" spans="1:8" ht="15.5" x14ac:dyDescent="0.35">
      <c r="A58" s="118"/>
      <c r="B58" s="145"/>
      <c r="C58" s="19"/>
      <c r="D58" s="9" t="s">
        <v>25</v>
      </c>
      <c r="E58" s="108"/>
      <c r="F58" s="109"/>
      <c r="G58" s="21" t="e">
        <f>VLOOKUP(A58,'Storeroom - 50011'!$C$2:$J$400, 8, FALSE)</f>
        <v>#N/A</v>
      </c>
      <c r="H58" s="10"/>
    </row>
    <row r="59" spans="1:8" ht="15.5" x14ac:dyDescent="0.35">
      <c r="A59" s="118"/>
      <c r="B59" s="145"/>
      <c r="C59" s="19"/>
      <c r="D59" s="9" t="s">
        <v>25</v>
      </c>
      <c r="E59" s="108"/>
      <c r="F59" s="109"/>
      <c r="G59" s="21" t="e">
        <f>VLOOKUP(A59,'Storeroom - 50011'!$C$2:$J$400, 8, FALSE)</f>
        <v>#N/A</v>
      </c>
      <c r="H59" s="10"/>
    </row>
    <row r="60" spans="1:8" ht="15.5" x14ac:dyDescent="0.35">
      <c r="A60" s="118"/>
      <c r="B60" s="145"/>
      <c r="C60" s="19"/>
      <c r="D60" s="9" t="s">
        <v>25</v>
      </c>
      <c r="E60" s="108"/>
      <c r="F60" s="109"/>
      <c r="G60" s="21" t="e">
        <f>VLOOKUP(A60,'Storeroom - 50011'!$C$2:$J$400, 8, FALSE)</f>
        <v>#N/A</v>
      </c>
      <c r="H60" s="10"/>
    </row>
    <row r="61" spans="1:8" ht="15.5" x14ac:dyDescent="0.35">
      <c r="A61" s="118"/>
      <c r="B61" s="145"/>
      <c r="C61" s="19"/>
      <c r="D61" s="9" t="s">
        <v>25</v>
      </c>
      <c r="E61" s="108"/>
      <c r="F61" s="109"/>
      <c r="G61" s="21" t="e">
        <f>VLOOKUP(A61,'Storeroom - 50011'!$C$2:$J$400, 8, FALSE)</f>
        <v>#N/A</v>
      </c>
      <c r="H61" s="10"/>
    </row>
    <row r="62" spans="1:8" ht="15.5" x14ac:dyDescent="0.35">
      <c r="A62" s="143" t="s">
        <v>26</v>
      </c>
      <c r="B62" s="144"/>
      <c r="C62" s="16"/>
      <c r="D62" s="15"/>
      <c r="E62" s="124">
        <f>H62/$H$81</f>
        <v>0</v>
      </c>
      <c r="F62" s="125"/>
      <c r="G62" s="27" t="s">
        <v>24</v>
      </c>
      <c r="H62" s="22">
        <f>SUM(H63:H65)</f>
        <v>0</v>
      </c>
    </row>
    <row r="63" spans="1:8" ht="15.5" x14ac:dyDescent="0.35">
      <c r="A63" s="118"/>
      <c r="B63" s="145"/>
      <c r="C63" s="13"/>
      <c r="D63" s="9" t="s">
        <v>25</v>
      </c>
      <c r="E63" s="126"/>
      <c r="F63" s="127"/>
      <c r="G63" s="21" t="e">
        <f>VLOOKUP(A63,'Meat - 50021'!$C$2:$L$400, 10, FALSE)</f>
        <v>#N/A</v>
      </c>
      <c r="H63" s="10"/>
    </row>
    <row r="64" spans="1:8" ht="15.5" x14ac:dyDescent="0.35">
      <c r="A64" s="118"/>
      <c r="B64" s="145"/>
      <c r="C64" s="13"/>
      <c r="D64" s="9" t="s">
        <v>25</v>
      </c>
      <c r="E64" s="108"/>
      <c r="F64" s="109"/>
      <c r="G64" s="21" t="e">
        <f>VLOOKUP(A64,'Meat - 50021'!$C$2:$L$400, 10, FALSE)</f>
        <v>#N/A</v>
      </c>
      <c r="H64" s="10"/>
    </row>
    <row r="65" spans="1:8" ht="15.5" x14ac:dyDescent="0.35">
      <c r="A65" s="118"/>
      <c r="B65" s="145"/>
      <c r="C65" s="13"/>
      <c r="D65" s="9" t="s">
        <v>25</v>
      </c>
      <c r="E65" s="126"/>
      <c r="F65" s="127"/>
      <c r="G65" s="21" t="e">
        <f>VLOOKUP(A65,'Meat - 50021'!$C$2:$L$400, 10, FALSE)</f>
        <v>#N/A</v>
      </c>
      <c r="H65" s="10"/>
    </row>
    <row r="66" spans="1:8" ht="15.5" x14ac:dyDescent="0.35">
      <c r="A66" s="143" t="s">
        <v>27</v>
      </c>
      <c r="B66" s="144"/>
      <c r="C66" s="16"/>
      <c r="D66" s="15"/>
      <c r="E66" s="124">
        <f>H66/$H$81</f>
        <v>0</v>
      </c>
      <c r="F66" s="125"/>
      <c r="G66" s="27" t="s">
        <v>24</v>
      </c>
      <c r="H66" s="22">
        <f>SUM(H67:H68)</f>
        <v>0</v>
      </c>
    </row>
    <row r="67" spans="1:8" ht="15.5" x14ac:dyDescent="0.35">
      <c r="A67" s="118"/>
      <c r="B67" s="145"/>
      <c r="C67" s="13"/>
      <c r="D67" s="9" t="s">
        <v>25</v>
      </c>
      <c r="E67" s="126"/>
      <c r="F67" s="127"/>
      <c r="G67" s="21" t="e">
        <f>VLOOKUP(A67,'Dairy - 50031'!$C$2:$J$400,8, FALSE)</f>
        <v>#N/A</v>
      </c>
      <c r="H67" s="10"/>
    </row>
    <row r="68" spans="1:8" ht="15.5" x14ac:dyDescent="0.35">
      <c r="A68" s="118"/>
      <c r="B68" s="145"/>
      <c r="C68" s="13"/>
      <c r="D68" s="9" t="s">
        <v>25</v>
      </c>
      <c r="E68" s="126"/>
      <c r="F68" s="127"/>
      <c r="G68" s="21" t="e">
        <f>VLOOKUP(A68,'Dairy - 50031'!$C$2:$J$400,8, FALSE)</f>
        <v>#N/A</v>
      </c>
      <c r="H68" s="10"/>
    </row>
    <row r="69" spans="1:8" ht="15.5" x14ac:dyDescent="0.35">
      <c r="A69" s="143" t="s">
        <v>30</v>
      </c>
      <c r="B69" s="144"/>
      <c r="C69" s="16"/>
      <c r="D69" s="15"/>
      <c r="E69" s="124">
        <f>H69/H81</f>
        <v>0.88297357301439505</v>
      </c>
      <c r="F69" s="125"/>
      <c r="G69" s="27" t="s">
        <v>24</v>
      </c>
      <c r="H69" s="22">
        <f>SUM(H70:H74)</f>
        <v>0.13528089887640449</v>
      </c>
    </row>
    <row r="70" spans="1:8" ht="15.5" x14ac:dyDescent="0.35">
      <c r="A70" s="118" t="s">
        <v>79</v>
      </c>
      <c r="B70" s="119"/>
      <c r="C70" s="13">
        <v>4</v>
      </c>
      <c r="D70" s="9" t="s">
        <v>25</v>
      </c>
      <c r="E70" s="108"/>
      <c r="F70" s="109"/>
      <c r="G70" s="21">
        <f>VLOOKUP(A70,'Produce - 50051'!$C$2:$L$400, 10, FALSE)</f>
        <v>3.3820224719101122E-2</v>
      </c>
      <c r="H70" s="10">
        <f>G70*C70</f>
        <v>0.13528089887640449</v>
      </c>
    </row>
    <row r="71" spans="1:8" ht="15.5" x14ac:dyDescent="0.35">
      <c r="A71" s="118"/>
      <c r="B71" s="119"/>
      <c r="C71" s="13"/>
      <c r="D71" s="9" t="s">
        <v>25</v>
      </c>
      <c r="E71" s="108"/>
      <c r="F71" s="109"/>
      <c r="G71" s="21" t="e">
        <f>VLOOKUP(A71,'Produce - 50051'!$C$2:$L$400, 10, FALSE)</f>
        <v>#N/A</v>
      </c>
      <c r="H71" s="10"/>
    </row>
    <row r="72" spans="1:8" ht="15.5" x14ac:dyDescent="0.35">
      <c r="A72" s="118"/>
      <c r="B72" s="119"/>
      <c r="C72" s="13"/>
      <c r="D72" s="9" t="s">
        <v>25</v>
      </c>
      <c r="E72" s="108"/>
      <c r="F72" s="109"/>
      <c r="G72" s="21" t="e">
        <f>VLOOKUP(A72,'Produce - 50051'!$C$2:$L$400, 10, FALSE)</f>
        <v>#N/A</v>
      </c>
      <c r="H72" s="10"/>
    </row>
    <row r="73" spans="1:8" ht="15.5" x14ac:dyDescent="0.35">
      <c r="A73" s="118"/>
      <c r="B73" s="119"/>
      <c r="C73" s="13"/>
      <c r="D73" s="9" t="s">
        <v>25</v>
      </c>
      <c r="E73" s="108"/>
      <c r="F73" s="109"/>
      <c r="G73" s="21" t="e">
        <f>VLOOKUP(A73,'Produce - 50051'!$C$2:$L$400, 10, FALSE)</f>
        <v>#N/A</v>
      </c>
      <c r="H73" s="10"/>
    </row>
    <row r="74" spans="1:8" ht="15.5" x14ac:dyDescent="0.35">
      <c r="A74" s="118"/>
      <c r="B74" s="119"/>
      <c r="C74" s="13"/>
      <c r="D74" s="9" t="s">
        <v>25</v>
      </c>
      <c r="E74" s="108"/>
      <c r="F74" s="109"/>
      <c r="G74" s="21" t="e">
        <f>VLOOKUP(A74,'Produce - 50051'!$C$2:$L$400, 10, FALSE)</f>
        <v>#N/A</v>
      </c>
      <c r="H74" s="10"/>
    </row>
    <row r="75" spans="1:8" ht="15.5" x14ac:dyDescent="0.35">
      <c r="A75" s="114" t="s">
        <v>34</v>
      </c>
      <c r="B75" s="115"/>
      <c r="C75" s="16"/>
      <c r="D75" s="15"/>
      <c r="E75" s="122">
        <f>H75/$H$81</f>
        <v>0</v>
      </c>
      <c r="F75" s="123"/>
      <c r="G75" s="27" t="s">
        <v>24</v>
      </c>
      <c r="H75" s="22">
        <f>SUM(H76:H80)</f>
        <v>0</v>
      </c>
    </row>
    <row r="76" spans="1:8" ht="15.5" x14ac:dyDescent="0.35">
      <c r="A76" s="118"/>
      <c r="B76" s="119"/>
      <c r="C76" s="13"/>
      <c r="D76" s="9" t="s">
        <v>29</v>
      </c>
      <c r="E76" s="108"/>
      <c r="F76" s="109"/>
      <c r="G76" s="21" t="e">
        <f>VLOOKUP(A76,'Bakery - 50041'!$C$2:$J$400, 8, FALSE)</f>
        <v>#N/A</v>
      </c>
      <c r="H76" s="10"/>
    </row>
    <row r="77" spans="1:8" ht="15.5" x14ac:dyDescent="0.35">
      <c r="A77" s="118"/>
      <c r="B77" s="119"/>
      <c r="C77" s="13"/>
      <c r="D77" s="9" t="s">
        <v>25</v>
      </c>
      <c r="E77" s="108"/>
      <c r="F77" s="109"/>
      <c r="G77" s="21" t="e">
        <f>VLOOKUP(A77,'Bakery - 50041'!$C$2:$J$400, 8, FALSE)</f>
        <v>#N/A</v>
      </c>
      <c r="H77" s="10"/>
    </row>
    <row r="78" spans="1:8" ht="15.5" x14ac:dyDescent="0.35">
      <c r="A78" s="114" t="s">
        <v>35</v>
      </c>
      <c r="B78" s="115"/>
      <c r="C78" s="16"/>
      <c r="D78" s="15"/>
      <c r="E78" s="116">
        <f>H78/$H$81</f>
        <v>0</v>
      </c>
      <c r="F78" s="18"/>
      <c r="G78" s="27" t="s">
        <v>24</v>
      </c>
      <c r="H78" s="22">
        <f>SUM(H79:H80)</f>
        <v>0</v>
      </c>
    </row>
    <row r="79" spans="1:8" ht="15.5" x14ac:dyDescent="0.35">
      <c r="A79" s="118"/>
      <c r="B79" s="119"/>
      <c r="C79" s="13"/>
      <c r="D79" s="9" t="s">
        <v>25</v>
      </c>
      <c r="E79" s="108"/>
      <c r="F79" s="109"/>
      <c r="G79" s="21" t="e">
        <f>VLOOKUP(A79,'Frozen - 50061'!$C$2:$J$400, 8, FALSE)</f>
        <v>#N/A</v>
      </c>
      <c r="H79" s="10"/>
    </row>
    <row r="80" spans="1:8" ht="15.5" x14ac:dyDescent="0.35">
      <c r="A80" s="118"/>
      <c r="B80" s="119"/>
      <c r="C80" s="36"/>
      <c r="D80" s="37" t="s">
        <v>25</v>
      </c>
      <c r="E80" s="120"/>
      <c r="F80" s="121"/>
      <c r="G80" s="21" t="e">
        <f>VLOOKUP(A80,'Frozen - 50061'!$C$2:$J$400, 8, FALSE)</f>
        <v>#N/A</v>
      </c>
      <c r="H80" s="10"/>
    </row>
    <row r="81" spans="1:8" ht="15.5" x14ac:dyDescent="0.35">
      <c r="A81" s="30"/>
      <c r="B81" s="40"/>
      <c r="C81" s="31"/>
      <c r="D81" s="31"/>
      <c r="E81" s="31"/>
      <c r="F81" s="4" t="s">
        <v>37</v>
      </c>
      <c r="G81" s="4"/>
      <c r="H81" s="35">
        <f>H78+H75+H69+H66+H62+H53</f>
        <v>0.1532105863764045</v>
      </c>
    </row>
    <row r="82" spans="1:8" ht="15.5" x14ac:dyDescent="0.35">
      <c r="A82" s="38"/>
      <c r="B82" s="41"/>
      <c r="C82" s="29"/>
      <c r="D82" s="29"/>
      <c r="E82" s="29"/>
      <c r="F82" s="4" t="s">
        <v>38</v>
      </c>
      <c r="G82" s="4"/>
      <c r="H82" s="12"/>
    </row>
    <row r="83" spans="1:8" ht="15.5" x14ac:dyDescent="0.35">
      <c r="A83" s="39"/>
      <c r="B83" s="42"/>
      <c r="C83" s="29"/>
      <c r="D83" s="29"/>
      <c r="E83" s="29"/>
      <c r="F83" s="4" t="s">
        <v>39</v>
      </c>
      <c r="G83" s="4"/>
      <c r="H83" s="11" t="e">
        <f>H81/D49</f>
        <v>#DIV/0!</v>
      </c>
    </row>
    <row r="84" spans="1:8" ht="15.5" x14ac:dyDescent="0.35">
      <c r="A84" s="39"/>
      <c r="B84" s="42"/>
      <c r="C84" s="29"/>
      <c r="D84" s="29"/>
      <c r="E84" s="29"/>
      <c r="F84" s="23" t="s">
        <v>40</v>
      </c>
      <c r="H84" s="25" t="e">
        <f>H82-H83</f>
        <v>#DIV/0!</v>
      </c>
    </row>
    <row r="85" spans="1:8" ht="15.5" x14ac:dyDescent="0.35">
      <c r="A85" s="39"/>
      <c r="B85" s="42"/>
      <c r="C85" s="29"/>
      <c r="D85" s="29"/>
      <c r="E85" s="29"/>
      <c r="F85" s="24" t="s">
        <v>41</v>
      </c>
      <c r="H85" s="88" t="e">
        <f>H84/H82</f>
        <v>#DIV/0!</v>
      </c>
    </row>
    <row r="86" spans="1:8" ht="18" customHeight="1" x14ac:dyDescent="0.35">
      <c r="A86" s="130" t="s">
        <v>52</v>
      </c>
      <c r="B86" s="130"/>
      <c r="C86" s="130"/>
      <c r="D86" s="130"/>
      <c r="E86" s="130"/>
      <c r="F86" s="130"/>
      <c r="G86" s="130"/>
      <c r="H86" s="130"/>
    </row>
    <row r="87" spans="1:8" ht="15" customHeight="1" x14ac:dyDescent="0.35">
      <c r="A87" s="130"/>
      <c r="B87" s="130"/>
      <c r="C87" s="130"/>
      <c r="D87" s="130"/>
      <c r="E87" s="130"/>
      <c r="F87" s="130"/>
      <c r="G87" s="130"/>
      <c r="H87" s="130"/>
    </row>
    <row r="88" spans="1:8" ht="15" customHeight="1" x14ac:dyDescent="0.35">
      <c r="A88" s="130"/>
      <c r="B88" s="130"/>
      <c r="C88" s="130"/>
      <c r="D88" s="130"/>
      <c r="E88" s="130"/>
      <c r="F88" s="130"/>
      <c r="G88" s="130"/>
      <c r="H88" s="130"/>
    </row>
    <row r="89" spans="1:8" ht="15" customHeight="1" x14ac:dyDescent="0.35">
      <c r="A89" s="131"/>
      <c r="B89" s="131"/>
      <c r="C89" s="131"/>
      <c r="D89" s="131"/>
      <c r="E89" s="131"/>
      <c r="F89" s="131"/>
      <c r="G89" s="131"/>
      <c r="H89" s="131"/>
    </row>
    <row r="90" spans="1:8" ht="26" x14ac:dyDescent="0.35">
      <c r="A90" s="132" t="s">
        <v>7</v>
      </c>
      <c r="B90" s="132"/>
      <c r="C90" s="132"/>
      <c r="D90" s="133" t="s">
        <v>8</v>
      </c>
      <c r="E90" s="133"/>
      <c r="F90" s="133"/>
      <c r="G90" s="133"/>
      <c r="H90" s="133"/>
    </row>
    <row r="91" spans="1:8" ht="15.5" x14ac:dyDescent="0.35">
      <c r="A91" s="4" t="s">
        <v>9</v>
      </c>
      <c r="B91" s="5" t="s">
        <v>98</v>
      </c>
      <c r="C91" s="3"/>
      <c r="D91" s="3"/>
      <c r="E91" s="95" t="s">
        <v>10</v>
      </c>
      <c r="F91" s="96"/>
      <c r="G91" s="96"/>
      <c r="H91" s="97"/>
    </row>
    <row r="92" spans="1:8" ht="15.5" x14ac:dyDescent="0.35">
      <c r="A92" s="6" t="s">
        <v>11</v>
      </c>
      <c r="B92" s="5"/>
      <c r="C92" s="4" t="s">
        <v>12</v>
      </c>
      <c r="D92" s="7">
        <v>1</v>
      </c>
      <c r="E92" s="94"/>
      <c r="F92" s="110"/>
      <c r="G92" s="110"/>
      <c r="H92" s="111"/>
    </row>
    <row r="93" spans="1:8" ht="15.5" x14ac:dyDescent="0.35">
      <c r="A93" s="4" t="s">
        <v>14</v>
      </c>
      <c r="B93" s="34"/>
      <c r="C93" s="4" t="s">
        <v>15</v>
      </c>
      <c r="D93" s="7">
        <v>1</v>
      </c>
      <c r="E93" s="5" t="s">
        <v>45</v>
      </c>
      <c r="H93" s="3"/>
    </row>
    <row r="94" spans="1:8" ht="15.5" x14ac:dyDescent="0.35">
      <c r="A94" s="134" t="s">
        <v>16</v>
      </c>
      <c r="B94" s="135"/>
      <c r="C94" s="138" t="s">
        <v>17</v>
      </c>
      <c r="D94" s="139"/>
      <c r="E94" s="140" t="s">
        <v>18</v>
      </c>
      <c r="F94" s="141"/>
      <c r="G94" s="141"/>
      <c r="H94" s="142"/>
    </row>
    <row r="95" spans="1:8" ht="15.5" x14ac:dyDescent="0.35">
      <c r="A95" s="136"/>
      <c r="B95" s="137"/>
      <c r="C95" s="8" t="s">
        <v>19</v>
      </c>
      <c r="D95" s="8" t="s">
        <v>20</v>
      </c>
      <c r="E95" s="112"/>
      <c r="F95" s="113"/>
      <c r="G95" s="28" t="s">
        <v>21</v>
      </c>
      <c r="H95" s="91" t="s">
        <v>22</v>
      </c>
    </row>
    <row r="96" spans="1:8" ht="15.5" x14ac:dyDescent="0.35">
      <c r="A96" s="105" t="s">
        <v>23</v>
      </c>
      <c r="B96" s="106"/>
      <c r="C96" s="14"/>
      <c r="D96" s="15"/>
      <c r="E96" s="128">
        <f>H96/$H$124</f>
        <v>0.7388532063778066</v>
      </c>
      <c r="F96" s="129"/>
      <c r="G96" s="17" t="s">
        <v>24</v>
      </c>
      <c r="H96" s="22">
        <f>SUM(H97:H104)</f>
        <v>0.15484049479166667</v>
      </c>
    </row>
    <row r="97" spans="1:8" ht="15.5" x14ac:dyDescent="0.35">
      <c r="A97" s="118" t="s">
        <v>78</v>
      </c>
      <c r="B97" s="119"/>
      <c r="C97" s="19">
        <v>1.25</v>
      </c>
      <c r="D97" s="9" t="s">
        <v>25</v>
      </c>
      <c r="E97" s="126"/>
      <c r="F97" s="127"/>
      <c r="G97" s="21">
        <f>VLOOKUP(A97,'Storeroom - 50011'!$C$2:$J$400, 8, FALSE)</f>
        <v>4.8632812499999997E-2</v>
      </c>
      <c r="H97" s="10">
        <f>G97*C97</f>
        <v>6.0791015625E-2</v>
      </c>
    </row>
    <row r="98" spans="1:8" ht="15.5" x14ac:dyDescent="0.35">
      <c r="A98" s="118" t="s">
        <v>99</v>
      </c>
      <c r="B98" s="119"/>
      <c r="C98" s="19">
        <v>0.25</v>
      </c>
      <c r="D98" s="9" t="s">
        <v>25</v>
      </c>
      <c r="E98" s="126"/>
      <c r="F98" s="127"/>
      <c r="G98" s="21">
        <f>VLOOKUP(A98,'Storeroom - 50011'!$C$2:$J$400, 8, FALSE)</f>
        <v>0.22333333333333336</v>
      </c>
      <c r="H98" s="10">
        <f t="shared" ref="H98:H100" si="1">G98*C98</f>
        <v>5.5833333333333339E-2</v>
      </c>
    </row>
    <row r="99" spans="1:8" ht="15.5" x14ac:dyDescent="0.35">
      <c r="A99" s="118" t="s">
        <v>47</v>
      </c>
      <c r="B99" s="119"/>
      <c r="C99" s="19">
        <v>0.125</v>
      </c>
      <c r="D99" s="9" t="s">
        <v>25</v>
      </c>
      <c r="E99" s="126"/>
      <c r="F99" s="127"/>
      <c r="G99" s="21">
        <f>VLOOKUP(A99,'Storeroom - 50011'!$C$2:$J$400, 8, FALSE)</f>
        <v>0.11302083333333333</v>
      </c>
      <c r="H99" s="10">
        <f t="shared" si="1"/>
        <v>1.4127604166666667E-2</v>
      </c>
    </row>
    <row r="100" spans="1:8" ht="15.5" x14ac:dyDescent="0.35">
      <c r="A100" s="118" t="s">
        <v>65</v>
      </c>
      <c r="B100" s="119"/>
      <c r="C100" s="19">
        <v>0.125</v>
      </c>
      <c r="D100" s="9" t="s">
        <v>25</v>
      </c>
      <c r="E100" s="126"/>
      <c r="F100" s="127"/>
      <c r="G100" s="21">
        <f>VLOOKUP(A100,'Storeroom - 50011'!$C$2:$J$400, 8, FALSE)</f>
        <v>0.19270833333333334</v>
      </c>
      <c r="H100" s="10">
        <f t="shared" si="1"/>
        <v>2.4088541666666668E-2</v>
      </c>
    </row>
    <row r="101" spans="1:8" ht="15.5" x14ac:dyDescent="0.35">
      <c r="A101" s="118"/>
      <c r="B101" s="119"/>
      <c r="C101" s="19"/>
      <c r="D101" s="9" t="s">
        <v>25</v>
      </c>
      <c r="E101" s="108"/>
      <c r="F101" s="109"/>
      <c r="G101" s="21" t="e">
        <f>VLOOKUP(A101,'Storeroom - 50011'!$C$2:$J$400, 8, FALSE)</f>
        <v>#N/A</v>
      </c>
      <c r="H101" s="10"/>
    </row>
    <row r="102" spans="1:8" ht="15.5" x14ac:dyDescent="0.35">
      <c r="A102" s="118"/>
      <c r="B102" s="119"/>
      <c r="C102" s="19"/>
      <c r="D102" s="9" t="s">
        <v>25</v>
      </c>
      <c r="E102" s="108"/>
      <c r="F102" s="109"/>
      <c r="G102" s="21" t="e">
        <f>VLOOKUP(A102,'Storeroom - 50011'!$C$2:$J$400, 8, FALSE)</f>
        <v>#N/A</v>
      </c>
      <c r="H102" s="10"/>
    </row>
    <row r="103" spans="1:8" ht="15.5" x14ac:dyDescent="0.35">
      <c r="A103" s="118"/>
      <c r="B103" s="119"/>
      <c r="C103" s="19"/>
      <c r="D103" s="9" t="s">
        <v>25</v>
      </c>
      <c r="E103" s="108"/>
      <c r="F103" s="109"/>
      <c r="G103" s="21" t="e">
        <f>VLOOKUP(A103,'Storeroom - 50011'!$C$2:$J$400, 8, FALSE)</f>
        <v>#N/A</v>
      </c>
      <c r="H103" s="10"/>
    </row>
    <row r="104" spans="1:8" ht="15.5" x14ac:dyDescent="0.35">
      <c r="A104" s="118"/>
      <c r="B104" s="119"/>
      <c r="C104" s="19"/>
      <c r="D104" s="9" t="s">
        <v>25</v>
      </c>
      <c r="E104" s="108"/>
      <c r="F104" s="109"/>
      <c r="G104" s="21" t="e">
        <f>VLOOKUP(A104,'Storeroom - 50011'!$C$2:$J$400, 8, FALSE)</f>
        <v>#N/A</v>
      </c>
      <c r="H104" s="10"/>
    </row>
    <row r="105" spans="1:8" ht="15.5" x14ac:dyDescent="0.35">
      <c r="A105" s="114" t="s">
        <v>26</v>
      </c>
      <c r="B105" s="115"/>
      <c r="C105" s="16"/>
      <c r="D105" s="15"/>
      <c r="E105" s="124">
        <f>H105/$H$124</f>
        <v>0</v>
      </c>
      <c r="F105" s="125"/>
      <c r="G105" s="27" t="s">
        <v>24</v>
      </c>
      <c r="H105" s="22">
        <f>SUM(H106:H108)</f>
        <v>0</v>
      </c>
    </row>
    <row r="106" spans="1:8" ht="15.5" x14ac:dyDescent="0.35">
      <c r="A106" s="118"/>
      <c r="B106" s="119"/>
      <c r="C106" s="13"/>
      <c r="D106" s="9" t="s">
        <v>25</v>
      </c>
      <c r="E106" s="126"/>
      <c r="F106" s="127"/>
      <c r="G106" s="21" t="e">
        <f>VLOOKUP(A106,'Meat - 50021'!$C$2:$L$400, 10, FALSE)</f>
        <v>#N/A</v>
      </c>
      <c r="H106" s="10"/>
    </row>
    <row r="107" spans="1:8" ht="15.5" x14ac:dyDescent="0.35">
      <c r="A107" s="118"/>
      <c r="B107" s="119"/>
      <c r="C107" s="13"/>
      <c r="D107" s="9" t="s">
        <v>25</v>
      </c>
      <c r="E107" s="108"/>
      <c r="F107" s="109"/>
      <c r="G107" s="21" t="e">
        <f>VLOOKUP(A107,'Meat - 50021'!$C$2:$L$400, 10, FALSE)</f>
        <v>#N/A</v>
      </c>
      <c r="H107" s="10"/>
    </row>
    <row r="108" spans="1:8" ht="15.5" x14ac:dyDescent="0.35">
      <c r="A108" s="118"/>
      <c r="B108" s="119"/>
      <c r="C108" s="13"/>
      <c r="D108" s="9" t="s">
        <v>25</v>
      </c>
      <c r="E108" s="126"/>
      <c r="F108" s="127"/>
      <c r="G108" s="21" t="e">
        <f>VLOOKUP(A108,'Meat - 50021'!$C$2:$L$400, 10, FALSE)</f>
        <v>#N/A</v>
      </c>
      <c r="H108" s="10"/>
    </row>
    <row r="109" spans="1:8" ht="15.5" x14ac:dyDescent="0.35">
      <c r="A109" s="114" t="s">
        <v>27</v>
      </c>
      <c r="B109" s="115"/>
      <c r="C109" s="16"/>
      <c r="D109" s="15"/>
      <c r="E109" s="124">
        <f>H109/$H$124</f>
        <v>0</v>
      </c>
      <c r="F109" s="125"/>
      <c r="G109" s="27" t="s">
        <v>24</v>
      </c>
      <c r="H109" s="22">
        <f>SUM(H110:H111)</f>
        <v>0</v>
      </c>
    </row>
    <row r="110" spans="1:8" ht="15.5" x14ac:dyDescent="0.35">
      <c r="A110" s="118"/>
      <c r="B110" s="119"/>
      <c r="C110" s="13"/>
      <c r="D110" s="9" t="s">
        <v>25</v>
      </c>
      <c r="E110" s="126"/>
      <c r="F110" s="127"/>
      <c r="G110" s="21" t="e">
        <f>VLOOKUP(A110,'Dairy - 50031'!$C$2:$J$400,8, FALSE)</f>
        <v>#N/A</v>
      </c>
      <c r="H110" s="10"/>
    </row>
    <row r="111" spans="1:8" ht="15.5" x14ac:dyDescent="0.35">
      <c r="A111" s="118"/>
      <c r="B111" s="119"/>
      <c r="C111" s="13"/>
      <c r="D111" s="9" t="s">
        <v>25</v>
      </c>
      <c r="E111" s="126"/>
      <c r="F111" s="127"/>
      <c r="G111" s="21" t="e">
        <f>VLOOKUP(A111,'Dairy - 50031'!$C$2:$J$400,8, FALSE)</f>
        <v>#N/A</v>
      </c>
      <c r="H111" s="10"/>
    </row>
    <row r="112" spans="1:8" ht="15.5" x14ac:dyDescent="0.35">
      <c r="A112" s="114" t="s">
        <v>30</v>
      </c>
      <c r="B112" s="115"/>
      <c r="C112" s="16"/>
      <c r="D112" s="15"/>
      <c r="E112" s="124">
        <f>H112/$H$124</f>
        <v>0.2611467936221934</v>
      </c>
      <c r="F112" s="125"/>
      <c r="G112" s="27" t="s">
        <v>24</v>
      </c>
      <c r="H112" s="22">
        <f>SUM(H113:H117)</f>
        <v>5.4728190104166664E-2</v>
      </c>
    </row>
    <row r="113" spans="1:8" ht="15.5" x14ac:dyDescent="0.35">
      <c r="A113" s="118" t="s">
        <v>33</v>
      </c>
      <c r="B113" s="119"/>
      <c r="C113" s="13">
        <v>0.25</v>
      </c>
      <c r="D113" s="9" t="s">
        <v>25</v>
      </c>
      <c r="E113" s="108"/>
      <c r="F113" s="109"/>
      <c r="G113" s="21">
        <f>VLOOKUP(A113,'Produce - 50051'!$C$2:$L$400, 10, FALSE)</f>
        <v>0.21891276041666666</v>
      </c>
      <c r="H113" s="10">
        <f>G113*C113</f>
        <v>5.4728190104166664E-2</v>
      </c>
    </row>
    <row r="114" spans="1:8" ht="15.5" x14ac:dyDescent="0.35">
      <c r="A114" s="118"/>
      <c r="B114" s="119"/>
      <c r="C114" s="13"/>
      <c r="D114" s="9" t="s">
        <v>25</v>
      </c>
      <c r="E114" s="108"/>
      <c r="F114" s="109"/>
      <c r="G114" s="21" t="e">
        <f>VLOOKUP(A114,'Produce - 50051'!$C$2:$L$400, 10, FALSE)</f>
        <v>#N/A</v>
      </c>
      <c r="H114" s="10"/>
    </row>
    <row r="115" spans="1:8" ht="15.5" x14ac:dyDescent="0.35">
      <c r="A115" s="118"/>
      <c r="B115" s="119"/>
      <c r="C115" s="13"/>
      <c r="D115" s="9" t="s">
        <v>25</v>
      </c>
      <c r="E115" s="108"/>
      <c r="F115" s="109"/>
      <c r="G115" s="21" t="e">
        <f>VLOOKUP(A115,'Produce - 50051'!$C$2:$L$400, 10, FALSE)</f>
        <v>#N/A</v>
      </c>
      <c r="H115" s="10"/>
    </row>
    <row r="116" spans="1:8" ht="15.5" x14ac:dyDescent="0.35">
      <c r="A116" s="118"/>
      <c r="B116" s="119"/>
      <c r="C116" s="13"/>
      <c r="D116" s="9" t="s">
        <v>25</v>
      </c>
      <c r="E116" s="108"/>
      <c r="F116" s="109"/>
      <c r="G116" s="21" t="e">
        <f>VLOOKUP(A116,'Produce - 50051'!$C$2:$L$400, 10, FALSE)</f>
        <v>#N/A</v>
      </c>
      <c r="H116" s="10"/>
    </row>
    <row r="117" spans="1:8" ht="15.5" x14ac:dyDescent="0.35">
      <c r="A117" s="118"/>
      <c r="B117" s="119"/>
      <c r="C117" s="13"/>
      <c r="D117" s="9" t="s">
        <v>25</v>
      </c>
      <c r="E117" s="108"/>
      <c r="F117" s="109"/>
      <c r="G117" s="21" t="e">
        <f>VLOOKUP(A117,'Produce - 50051'!$C$2:$L$400, 10, FALSE)</f>
        <v>#N/A</v>
      </c>
      <c r="H117" s="10"/>
    </row>
    <row r="118" spans="1:8" ht="15.5" x14ac:dyDescent="0.35">
      <c r="A118" s="114" t="s">
        <v>34</v>
      </c>
      <c r="B118" s="115"/>
      <c r="C118" s="16"/>
      <c r="D118" s="15"/>
      <c r="E118" s="122">
        <f>H118/$H$124</f>
        <v>0</v>
      </c>
      <c r="F118" s="123"/>
      <c r="G118" s="27" t="s">
        <v>24</v>
      </c>
      <c r="H118" s="22">
        <f>SUM(H119:H123)</f>
        <v>0</v>
      </c>
    </row>
    <row r="119" spans="1:8" ht="15.5" x14ac:dyDescent="0.35">
      <c r="A119" s="118"/>
      <c r="B119" s="119"/>
      <c r="C119" s="13"/>
      <c r="D119" s="9" t="s">
        <v>29</v>
      </c>
      <c r="E119" s="108"/>
      <c r="F119" s="109"/>
      <c r="G119" s="21" t="e">
        <f>VLOOKUP(A119,'Bakery - 50041'!$C$2:$J$400, 8, FALSE)</f>
        <v>#N/A</v>
      </c>
      <c r="H119" s="10"/>
    </row>
    <row r="120" spans="1:8" ht="15.5" x14ac:dyDescent="0.35">
      <c r="A120" s="118"/>
      <c r="B120" s="119"/>
      <c r="C120" s="13"/>
      <c r="D120" s="9" t="s">
        <v>25</v>
      </c>
      <c r="E120" s="108"/>
      <c r="F120" s="109"/>
      <c r="G120" s="21" t="e">
        <f>VLOOKUP(A120,'Bakery - 50041'!$C$2:$J$400, 8, FALSE)</f>
        <v>#N/A</v>
      </c>
      <c r="H120" s="10"/>
    </row>
    <row r="121" spans="1:8" ht="15.5" x14ac:dyDescent="0.35">
      <c r="A121" s="114" t="s">
        <v>35</v>
      </c>
      <c r="B121" s="115"/>
      <c r="C121" s="16"/>
      <c r="D121" s="15"/>
      <c r="E121" s="116">
        <f>H121/$H$124</f>
        <v>0</v>
      </c>
      <c r="F121" s="18"/>
      <c r="G121" s="27" t="s">
        <v>24</v>
      </c>
      <c r="H121" s="22">
        <f>SUM(H122:H123)</f>
        <v>0</v>
      </c>
    </row>
    <row r="122" spans="1:8" ht="15.5" x14ac:dyDescent="0.35">
      <c r="A122" s="118"/>
      <c r="B122" s="119"/>
      <c r="C122" s="13"/>
      <c r="D122" s="9" t="s">
        <v>25</v>
      </c>
      <c r="E122" s="108"/>
      <c r="F122" s="109"/>
      <c r="G122" s="21" t="e">
        <f>VLOOKUP(A122,'Frozen - 50061'!$C$2:$J$400, 8, FALSE)</f>
        <v>#N/A</v>
      </c>
      <c r="H122" s="10"/>
    </row>
    <row r="123" spans="1:8" ht="15.5" x14ac:dyDescent="0.35">
      <c r="A123" s="118"/>
      <c r="B123" s="119"/>
      <c r="C123" s="36"/>
      <c r="D123" s="37" t="s">
        <v>25</v>
      </c>
      <c r="E123" s="120"/>
      <c r="F123" s="121"/>
      <c r="G123" s="21" t="e">
        <f>VLOOKUP(A123,'Frozen - 50061'!$C$2:$J$400, 8, FALSE)</f>
        <v>#N/A</v>
      </c>
      <c r="H123" s="10"/>
    </row>
    <row r="124" spans="1:8" ht="15.5" x14ac:dyDescent="0.35">
      <c r="A124" s="30"/>
      <c r="B124" s="40"/>
      <c r="C124" s="31"/>
      <c r="D124" s="31"/>
      <c r="E124" s="31"/>
      <c r="F124" s="4" t="s">
        <v>37</v>
      </c>
      <c r="G124" s="4"/>
      <c r="H124" s="35">
        <f>H121+H118+H112+H109+H105+H96</f>
        <v>0.20956868489583333</v>
      </c>
    </row>
    <row r="125" spans="1:8" ht="15.5" x14ac:dyDescent="0.35">
      <c r="A125" s="38"/>
      <c r="B125" s="41"/>
      <c r="C125" s="29"/>
      <c r="D125" s="29"/>
      <c r="E125" s="29"/>
      <c r="F125" s="4" t="s">
        <v>38</v>
      </c>
      <c r="G125" s="4"/>
      <c r="H125" s="12"/>
    </row>
    <row r="126" spans="1:8" ht="15.5" x14ac:dyDescent="0.35">
      <c r="A126" s="39"/>
      <c r="B126" s="42"/>
      <c r="C126" s="29"/>
      <c r="D126" s="29"/>
      <c r="E126" s="29"/>
      <c r="F126" s="4" t="s">
        <v>39</v>
      </c>
      <c r="G126" s="4"/>
      <c r="H126" s="11">
        <f>H124/D93</f>
        <v>0.20956868489583333</v>
      </c>
    </row>
    <row r="127" spans="1:8" ht="15.5" x14ac:dyDescent="0.35">
      <c r="A127" s="39"/>
      <c r="B127" s="42"/>
      <c r="C127" s="29"/>
      <c r="D127" s="29"/>
      <c r="E127" s="29"/>
      <c r="F127" s="23" t="s">
        <v>40</v>
      </c>
      <c r="H127" s="25">
        <f>H125-H126</f>
        <v>-0.20956868489583333</v>
      </c>
    </row>
    <row r="128" spans="1:8" ht="15.5" x14ac:dyDescent="0.35">
      <c r="A128" s="39"/>
      <c r="B128" s="42"/>
      <c r="C128" s="29"/>
      <c r="D128" s="29"/>
      <c r="E128" s="29"/>
      <c r="F128" s="24" t="s">
        <v>41</v>
      </c>
      <c r="H128" s="26" t="e">
        <f>H127/H125</f>
        <v>#DIV/0!</v>
      </c>
    </row>
  </sheetData>
  <mergeCells count="137">
    <mergeCell ref="A7:B7"/>
    <mergeCell ref="E7:F7"/>
    <mergeCell ref="A8:B8"/>
    <mergeCell ref="E8:F8"/>
    <mergeCell ref="A9:B9"/>
    <mergeCell ref="E9:F9"/>
    <mergeCell ref="A1:C1"/>
    <mergeCell ref="D1:H1"/>
    <mergeCell ref="E3:H3"/>
    <mergeCell ref="A5:B6"/>
    <mergeCell ref="C5:D5"/>
    <mergeCell ref="E5:H5"/>
    <mergeCell ref="E6:F6"/>
    <mergeCell ref="A14:B14"/>
    <mergeCell ref="A15:B15"/>
    <mergeCell ref="A16:B16"/>
    <mergeCell ref="E16:F16"/>
    <mergeCell ref="A17:B17"/>
    <mergeCell ref="E17:F17"/>
    <mergeCell ref="A10:B10"/>
    <mergeCell ref="E10:F10"/>
    <mergeCell ref="A11:B11"/>
    <mergeCell ref="E11:F11"/>
    <mergeCell ref="A12:B12"/>
    <mergeCell ref="A13:B13"/>
    <mergeCell ref="A22:B22"/>
    <mergeCell ref="E22:F22"/>
    <mergeCell ref="A23:B23"/>
    <mergeCell ref="E23:F23"/>
    <mergeCell ref="A24:B24"/>
    <mergeCell ref="A25:B25"/>
    <mergeCell ref="A18:B18"/>
    <mergeCell ref="A19:B19"/>
    <mergeCell ref="E19:F19"/>
    <mergeCell ref="A20:B20"/>
    <mergeCell ref="E20:F20"/>
    <mergeCell ref="A21:B21"/>
    <mergeCell ref="E21:F21"/>
    <mergeCell ref="A33:B33"/>
    <mergeCell ref="A34:B34"/>
    <mergeCell ref="E34:F34"/>
    <mergeCell ref="A43:H46"/>
    <mergeCell ref="A47:C47"/>
    <mergeCell ref="D47:H47"/>
    <mergeCell ref="A26:B26"/>
    <mergeCell ref="A27:B27"/>
    <mergeCell ref="A28:B28"/>
    <mergeCell ref="E29:F29"/>
    <mergeCell ref="A30:B30"/>
    <mergeCell ref="A31:B31"/>
    <mergeCell ref="A54:B54"/>
    <mergeCell ref="E54:F54"/>
    <mergeCell ref="A55:B55"/>
    <mergeCell ref="E55:F55"/>
    <mergeCell ref="A56:B56"/>
    <mergeCell ref="E56:F56"/>
    <mergeCell ref="E49:H49"/>
    <mergeCell ref="A51:B52"/>
    <mergeCell ref="C51:D51"/>
    <mergeCell ref="E51:H51"/>
    <mergeCell ref="E52:F52"/>
    <mergeCell ref="A53:B53"/>
    <mergeCell ref="E53:F53"/>
    <mergeCell ref="A62:B62"/>
    <mergeCell ref="E62:F62"/>
    <mergeCell ref="A63:B63"/>
    <mergeCell ref="E63:F63"/>
    <mergeCell ref="A64:B64"/>
    <mergeCell ref="A65:B65"/>
    <mergeCell ref="E65:F65"/>
    <mergeCell ref="A57:B57"/>
    <mergeCell ref="E57:F57"/>
    <mergeCell ref="A58:B58"/>
    <mergeCell ref="A59:B59"/>
    <mergeCell ref="A60:B60"/>
    <mergeCell ref="A61:B61"/>
    <mergeCell ref="A69:B69"/>
    <mergeCell ref="E69:F69"/>
    <mergeCell ref="A70:B70"/>
    <mergeCell ref="A71:B71"/>
    <mergeCell ref="A72:B72"/>
    <mergeCell ref="A73:B73"/>
    <mergeCell ref="A66:B66"/>
    <mergeCell ref="E66:F66"/>
    <mergeCell ref="A67:B67"/>
    <mergeCell ref="E67:F67"/>
    <mergeCell ref="A68:B68"/>
    <mergeCell ref="E68:F68"/>
    <mergeCell ref="A86:H89"/>
    <mergeCell ref="A90:C90"/>
    <mergeCell ref="D90:H90"/>
    <mergeCell ref="A94:B95"/>
    <mergeCell ref="C94:D94"/>
    <mergeCell ref="E94:H94"/>
    <mergeCell ref="A74:B74"/>
    <mergeCell ref="E75:F75"/>
    <mergeCell ref="A76:B76"/>
    <mergeCell ref="A77:B77"/>
    <mergeCell ref="A79:B79"/>
    <mergeCell ref="A80:B80"/>
    <mergeCell ref="E80:F80"/>
    <mergeCell ref="A100:B100"/>
    <mergeCell ref="E100:F100"/>
    <mergeCell ref="A101:B101"/>
    <mergeCell ref="A102:B102"/>
    <mergeCell ref="A103:B103"/>
    <mergeCell ref="A104:B104"/>
    <mergeCell ref="E96:F96"/>
    <mergeCell ref="A97:B97"/>
    <mergeCell ref="E97:F97"/>
    <mergeCell ref="A98:B98"/>
    <mergeCell ref="E98:F98"/>
    <mergeCell ref="A99:B99"/>
    <mergeCell ref="E99:F99"/>
    <mergeCell ref="E109:F109"/>
    <mergeCell ref="A110:B110"/>
    <mergeCell ref="E110:F110"/>
    <mergeCell ref="A111:B111"/>
    <mergeCell ref="E111:F111"/>
    <mergeCell ref="E112:F112"/>
    <mergeCell ref="E105:F105"/>
    <mergeCell ref="A106:B106"/>
    <mergeCell ref="E106:F106"/>
    <mergeCell ref="A107:B107"/>
    <mergeCell ref="A108:B108"/>
    <mergeCell ref="E108:F108"/>
    <mergeCell ref="A119:B119"/>
    <mergeCell ref="A120:B120"/>
    <mergeCell ref="A122:B122"/>
    <mergeCell ref="A123:B123"/>
    <mergeCell ref="E123:F123"/>
    <mergeCell ref="A113:B113"/>
    <mergeCell ref="A114:B114"/>
    <mergeCell ref="A115:B115"/>
    <mergeCell ref="A116:B116"/>
    <mergeCell ref="A117:B117"/>
    <mergeCell ref="E118:F118"/>
  </mergeCells>
  <hyperlinks>
    <hyperlink ref="E3" r:id="rId1" xr:uid="{6B035FDD-CE7E-4B3E-80ED-00DC6ECEB983}"/>
    <hyperlink ref="E49" r:id="rId2" xr:uid="{24447915-3D81-40D9-9AAB-06F1AA3DCD96}"/>
    <hyperlink ref="D1" r:id="rId3" xr:uid="{E1E90E16-2156-491F-992A-E362F32EA12F}"/>
    <hyperlink ref="D47" r:id="rId4" xr:uid="{854A250A-F034-40CB-8B8B-4F9115478DC5}"/>
    <hyperlink ref="D90" r:id="rId5" xr:uid="{A4D694E3-17ED-4DF6-90D9-672E04875F23}"/>
  </hyperlinks>
  <pageMargins left="0.7" right="0.7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FCD385B-718C-446C-92ED-668D316E6346}">
          <x14:formula1>
            <xm:f>'Dairy - 50031'!$C$2:$C$400</xm:f>
          </x14:formula1>
          <xm:sqref>A67:B68 A110:B111</xm:sqref>
        </x14:dataValidation>
        <x14:dataValidation type="list" allowBlank="1" showInputMessage="1" showErrorMessage="1" xr:uid="{4B071795-92DC-4CFE-95A6-95C3263895E5}">
          <x14:formula1>
            <xm:f>'Meat - 50021'!$C$2:$C$400</xm:f>
          </x14:formula1>
          <xm:sqref>A63:B65 A106:B108</xm:sqref>
        </x14:dataValidation>
        <x14:dataValidation type="list" allowBlank="1" showInputMessage="1" showErrorMessage="1" errorTitle="Item" xr:uid="{4703B66C-3152-4C58-94C6-8442FA2A3B6E}">
          <x14:formula1>
            <xm:f>'Storeroom - 50011'!$C$2:$C$400</xm:f>
          </x14:formula1>
          <xm:sqref>A54:B61 A97:B104</xm:sqref>
        </x14:dataValidation>
        <x14:dataValidation type="list" allowBlank="1" showInputMessage="1" showErrorMessage="1" xr:uid="{DB73715E-4F52-4F1F-880C-9DF97FF87FA2}">
          <x14:formula1>
            <xm:f>'Frozen - 50061'!$C$2:$C$400</xm:f>
          </x14:formula1>
          <xm:sqref>A33:B34 A79:B80 A122:B123</xm:sqref>
        </x14:dataValidation>
        <x14:dataValidation type="list" allowBlank="1" showInputMessage="1" showErrorMessage="1" xr:uid="{FCB73321-9ABF-43FB-9C08-1FBB72896E29}">
          <x14:formula1>
            <xm:f>'Produce - 50051'!$C$2:$C$400</xm:f>
          </x14:formula1>
          <xm:sqref>A24:B28 A70:B74 A113:B117</xm:sqref>
        </x14:dataValidation>
        <x14:dataValidation type="list" allowBlank="1" showInputMessage="1" showErrorMessage="1" xr:uid="{86107CFC-5AEC-4680-BF12-86D07A86A75C}">
          <x14:formula1>
            <xm:f>'Dairy - 50031'!$C$2:$C$100</xm:f>
          </x14:formula1>
          <xm:sqref>A21:B22</xm:sqref>
        </x14:dataValidation>
        <x14:dataValidation type="list" allowBlank="1" showInputMessage="1" showErrorMessage="1" xr:uid="{4D8E39C9-EAA0-4DFF-9A12-578C30502CF7}">
          <x14:formula1>
            <xm:f>'Meat - 50021'!$C$2:$C$110</xm:f>
          </x14:formula1>
          <xm:sqref>A17:B17</xm:sqref>
        </x14:dataValidation>
        <x14:dataValidation type="list" allowBlank="1" showInputMessage="1" showErrorMessage="1" errorTitle="Item" xr:uid="{B17421FA-B9C6-4E95-869E-20ED8849C18A}">
          <x14:formula1>
            <xm:f>'Storeroom - 50011'!$C$2:$C$309</xm:f>
          </x14:formula1>
          <xm:sqref>A8:B15</xm:sqref>
        </x14:dataValidation>
        <x14:dataValidation type="list" allowBlank="1" showInputMessage="1" showErrorMessage="1" xr:uid="{52005BF1-CB76-43D8-A4DB-E3C7C83BC7A5}">
          <x14:formula1>
            <xm:f>'Bakery - 50041'!$C$2:$C$400</xm:f>
          </x14:formula1>
          <xm:sqref>A30:B31 A76:B77 A119:B120</xm:sqref>
        </x14:dataValidation>
        <x14:dataValidation type="list" allowBlank="1" showInputMessage="1" showErrorMessage="1" xr:uid="{9FF3F048-5D65-42ED-8332-53F9AD059FE1}">
          <x14:formula1>
            <xm:f>'Meat - 50021'!$C$2:$C$96</xm:f>
          </x14:formula1>
          <xm:sqref>A18:B19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28"/>
  <sheetViews>
    <sheetView workbookViewId="0">
      <selection activeCell="A8" sqref="A8:B8"/>
    </sheetView>
  </sheetViews>
  <sheetFormatPr defaultRowHeight="14.5" x14ac:dyDescent="0.35"/>
  <cols>
    <col min="1" max="1" width="18.1796875" customWidth="1"/>
    <col min="2" max="2" width="16.453125" customWidth="1"/>
    <col min="3" max="3" width="13.453125" customWidth="1"/>
    <col min="4" max="4" width="12.453125" customWidth="1"/>
    <col min="5" max="5" width="6" customWidth="1"/>
    <col min="6" max="6" width="1.26953125" customWidth="1"/>
    <col min="7" max="7" width="9.1796875" style="2"/>
    <col min="8" max="8" width="12" customWidth="1"/>
    <col min="9" max="9" width="9.1796875" style="2"/>
    <col min="10" max="10" width="13.26953125" customWidth="1"/>
  </cols>
  <sheetData>
    <row r="1" spans="1:11" ht="25.5" customHeight="1" thickBot="1" x14ac:dyDescent="0.4">
      <c r="A1" s="159" t="s">
        <v>7</v>
      </c>
      <c r="B1" s="159"/>
      <c r="C1" s="159"/>
      <c r="D1" s="160" t="s">
        <v>8</v>
      </c>
      <c r="E1" s="160"/>
      <c r="F1" s="160"/>
      <c r="G1" s="160"/>
      <c r="H1" s="160"/>
      <c r="I1" s="54"/>
      <c r="J1" s="54"/>
      <c r="K1" s="54"/>
    </row>
    <row r="2" spans="1:11" ht="15.5" x14ac:dyDescent="0.35">
      <c r="A2" s="4" t="s">
        <v>9</v>
      </c>
      <c r="B2" s="5"/>
      <c r="C2" s="3"/>
      <c r="D2" s="3"/>
      <c r="E2" s="95" t="s">
        <v>10</v>
      </c>
      <c r="F2" s="96"/>
      <c r="G2" s="96"/>
      <c r="H2" s="97"/>
      <c r="I2" s="54"/>
      <c r="J2" s="54"/>
      <c r="K2" s="54"/>
    </row>
    <row r="3" spans="1:11" ht="16" thickBot="1" x14ac:dyDescent="0.4">
      <c r="A3" s="6" t="s">
        <v>11</v>
      </c>
      <c r="B3" s="5"/>
      <c r="C3" s="4" t="s">
        <v>12</v>
      </c>
      <c r="D3" s="7"/>
      <c r="E3" s="146" t="s">
        <v>13</v>
      </c>
      <c r="F3" s="147"/>
      <c r="G3" s="147"/>
      <c r="H3" s="148"/>
      <c r="I3" s="3"/>
      <c r="J3" s="54"/>
      <c r="K3" s="54"/>
    </row>
    <row r="4" spans="1:11" ht="15.5" x14ac:dyDescent="0.35">
      <c r="A4" s="4" t="s">
        <v>14</v>
      </c>
      <c r="B4" s="34"/>
      <c r="C4" s="4" t="s">
        <v>15</v>
      </c>
      <c r="D4" s="7"/>
      <c r="E4" s="5" t="s">
        <v>45</v>
      </c>
      <c r="F4" s="54"/>
      <c r="G4" s="54"/>
      <c r="H4" s="3"/>
      <c r="I4" s="3"/>
      <c r="J4" s="3"/>
      <c r="K4" s="54"/>
    </row>
    <row r="5" spans="1:11" ht="15.5" x14ac:dyDescent="0.35">
      <c r="A5" s="149" t="s">
        <v>16</v>
      </c>
      <c r="B5" s="150"/>
      <c r="C5" s="153" t="s">
        <v>17</v>
      </c>
      <c r="D5" s="154"/>
      <c r="E5" s="140" t="s">
        <v>18</v>
      </c>
      <c r="F5" s="141"/>
      <c r="G5" s="141"/>
      <c r="H5" s="142"/>
      <c r="I5" s="3"/>
      <c r="J5" s="3"/>
      <c r="K5" s="54"/>
    </row>
    <row r="6" spans="1:11" ht="15.5" x14ac:dyDescent="0.35">
      <c r="A6" s="151"/>
      <c r="B6" s="152"/>
      <c r="C6" s="8" t="s">
        <v>19</v>
      </c>
      <c r="D6" s="8" t="s">
        <v>20</v>
      </c>
      <c r="E6" s="155"/>
      <c r="F6" s="156"/>
      <c r="G6" s="92" t="s">
        <v>21</v>
      </c>
      <c r="H6" s="93" t="s">
        <v>22</v>
      </c>
      <c r="I6" s="32"/>
      <c r="J6" s="32"/>
      <c r="K6" s="54"/>
    </row>
    <row r="7" spans="1:11" ht="15.5" x14ac:dyDescent="0.35">
      <c r="A7" s="157" t="s">
        <v>23</v>
      </c>
      <c r="B7" s="158"/>
      <c r="C7" s="14"/>
      <c r="D7" s="15"/>
      <c r="E7" s="128" t="e">
        <f>(H7+H96+H53)/H35</f>
        <v>#N/A</v>
      </c>
      <c r="F7" s="129"/>
      <c r="G7" s="17" t="s">
        <v>24</v>
      </c>
      <c r="H7" s="22" t="e">
        <f>SUM(H8:H15)</f>
        <v>#N/A</v>
      </c>
      <c r="I7" s="33"/>
      <c r="J7" s="33"/>
      <c r="K7" s="54"/>
    </row>
    <row r="8" spans="1:11" ht="15.5" x14ac:dyDescent="0.35">
      <c r="A8" s="118"/>
      <c r="B8" s="145"/>
      <c r="C8" s="19"/>
      <c r="D8" s="9" t="s">
        <v>25</v>
      </c>
      <c r="E8" s="126"/>
      <c r="F8" s="127"/>
      <c r="G8" s="21" t="e">
        <f>VLOOKUP(A8,'Storeroom - 50011'!$C$2:$J$400, 8, FALSE)</f>
        <v>#N/A</v>
      </c>
      <c r="H8" s="10" t="e">
        <f>C8*G8</f>
        <v>#N/A</v>
      </c>
      <c r="I8" s="33"/>
      <c r="J8" s="33"/>
      <c r="K8" s="54"/>
    </row>
    <row r="9" spans="1:11" ht="15.5" x14ac:dyDescent="0.35">
      <c r="A9" s="118"/>
      <c r="B9" s="145"/>
      <c r="C9" s="19"/>
      <c r="D9" s="9" t="s">
        <v>25</v>
      </c>
      <c r="E9" s="126"/>
      <c r="F9" s="127"/>
      <c r="G9" s="21" t="e">
        <f>VLOOKUP(A9,'Storeroom - 50011'!$C$2:$J$400, 8, FALSE)</f>
        <v>#N/A</v>
      </c>
      <c r="H9" s="10" t="e">
        <f t="shared" ref="H9:H25" si="0">C9*G9</f>
        <v>#N/A</v>
      </c>
      <c r="I9" s="33"/>
      <c r="J9" s="33"/>
      <c r="K9" s="54"/>
    </row>
    <row r="10" spans="1:11" ht="15.5" x14ac:dyDescent="0.35">
      <c r="A10" s="118"/>
      <c r="B10" s="145"/>
      <c r="C10" s="19"/>
      <c r="D10" s="9" t="s">
        <v>25</v>
      </c>
      <c r="E10" s="126"/>
      <c r="F10" s="127"/>
      <c r="G10" s="21" t="e">
        <f>VLOOKUP(A10,'Storeroom - 50011'!$C$2:$J$400, 8, FALSE)</f>
        <v>#N/A</v>
      </c>
      <c r="H10" s="10" t="e">
        <f t="shared" si="0"/>
        <v>#N/A</v>
      </c>
      <c r="I10" s="33"/>
      <c r="J10" s="33"/>
      <c r="K10" s="54"/>
    </row>
    <row r="11" spans="1:11" ht="15.5" x14ac:dyDescent="0.35">
      <c r="A11" s="118"/>
      <c r="B11" s="145"/>
      <c r="C11" s="19"/>
      <c r="D11" s="9" t="s">
        <v>25</v>
      </c>
      <c r="E11" s="126"/>
      <c r="F11" s="127"/>
      <c r="G11" s="21" t="e">
        <f>VLOOKUP(A11,'Storeroom - 50011'!$C$2:$J$400, 8, FALSE)</f>
        <v>#N/A</v>
      </c>
      <c r="H11" s="10" t="e">
        <f t="shared" si="0"/>
        <v>#N/A</v>
      </c>
      <c r="I11" s="33"/>
      <c r="J11" s="33"/>
      <c r="K11" s="54"/>
    </row>
    <row r="12" spans="1:11" s="2" customFormat="1" ht="15.5" x14ac:dyDescent="0.35">
      <c r="A12" s="118"/>
      <c r="B12" s="145"/>
      <c r="C12" s="19"/>
      <c r="D12" s="9" t="s">
        <v>25</v>
      </c>
      <c r="E12" s="108"/>
      <c r="F12" s="109"/>
      <c r="G12" s="21" t="e">
        <f>VLOOKUP(A12,'Storeroom - 50011'!$C$2:$J$400, 8, FALSE)</f>
        <v>#N/A</v>
      </c>
      <c r="H12" s="10" t="e">
        <f t="shared" si="0"/>
        <v>#N/A</v>
      </c>
      <c r="I12" s="33"/>
      <c r="J12" s="33"/>
      <c r="K12" s="54"/>
    </row>
    <row r="13" spans="1:11" s="2" customFormat="1" ht="15.5" x14ac:dyDescent="0.35">
      <c r="A13" s="118"/>
      <c r="B13" s="145"/>
      <c r="C13" s="19"/>
      <c r="D13" s="9" t="s">
        <v>25</v>
      </c>
      <c r="E13" s="108"/>
      <c r="F13" s="109"/>
      <c r="G13" s="21" t="e">
        <f>VLOOKUP(A13,'Storeroom - 50011'!$C$2:$J$400, 8, FALSE)</f>
        <v>#N/A</v>
      </c>
      <c r="H13" s="10" t="e">
        <f t="shared" si="0"/>
        <v>#N/A</v>
      </c>
      <c r="I13" s="33"/>
      <c r="J13" s="33"/>
      <c r="K13" s="54"/>
    </row>
    <row r="14" spans="1:11" s="2" customFormat="1" ht="15.5" x14ac:dyDescent="0.35">
      <c r="A14" s="118"/>
      <c r="B14" s="145"/>
      <c r="C14" s="19"/>
      <c r="D14" s="9" t="s">
        <v>25</v>
      </c>
      <c r="E14" s="108"/>
      <c r="F14" s="109"/>
      <c r="G14" s="21" t="e">
        <f>VLOOKUP(A14,'Storeroom - 50011'!$C$2:$J$400, 8, FALSE)</f>
        <v>#N/A</v>
      </c>
      <c r="H14" s="10" t="e">
        <f t="shared" si="0"/>
        <v>#N/A</v>
      </c>
      <c r="I14" s="33"/>
      <c r="J14" s="33"/>
      <c r="K14" s="54"/>
    </row>
    <row r="15" spans="1:11" s="2" customFormat="1" ht="15.5" x14ac:dyDescent="0.35">
      <c r="A15" s="118"/>
      <c r="B15" s="145"/>
      <c r="C15" s="19"/>
      <c r="D15" s="9" t="s">
        <v>25</v>
      </c>
      <c r="E15" s="108"/>
      <c r="F15" s="109"/>
      <c r="G15" s="21" t="e">
        <f>VLOOKUP(A15,'Storeroom - 50011'!$C$2:$J$400, 8, FALSE)</f>
        <v>#N/A</v>
      </c>
      <c r="H15" s="10"/>
      <c r="I15" s="33"/>
      <c r="J15" s="33"/>
      <c r="K15" s="54"/>
    </row>
    <row r="16" spans="1:11" ht="15.5" x14ac:dyDescent="0.35">
      <c r="A16" s="143" t="s">
        <v>26</v>
      </c>
      <c r="B16" s="144"/>
      <c r="C16" s="16"/>
      <c r="D16" s="15"/>
      <c r="E16" s="124" t="e">
        <f>(H16+H62+H105)/H35</f>
        <v>#N/A</v>
      </c>
      <c r="F16" s="125"/>
      <c r="G16" s="27" t="s">
        <v>24</v>
      </c>
      <c r="H16" s="22">
        <f>SUM(H17:H19)</f>
        <v>0</v>
      </c>
      <c r="I16" s="33"/>
      <c r="J16" s="33"/>
      <c r="K16" s="54"/>
    </row>
    <row r="17" spans="1:10" ht="15.5" x14ac:dyDescent="0.35">
      <c r="A17" s="118"/>
      <c r="B17" s="145"/>
      <c r="C17" s="13"/>
      <c r="D17" s="9" t="s">
        <v>25</v>
      </c>
      <c r="E17" s="126"/>
      <c r="F17" s="127"/>
      <c r="G17" s="21" t="e">
        <f>VLOOKUP(A17,'Meat - 50021'!$C$2:$L$400, 10, FALSE)</f>
        <v>#N/A</v>
      </c>
      <c r="H17" s="10"/>
      <c r="I17" s="33"/>
      <c r="J17" s="33"/>
    </row>
    <row r="18" spans="1:10" s="2" customFormat="1" ht="15.5" x14ac:dyDescent="0.35">
      <c r="A18" s="118"/>
      <c r="B18" s="145"/>
      <c r="C18" s="13"/>
      <c r="D18" s="9" t="s">
        <v>25</v>
      </c>
      <c r="E18" s="108"/>
      <c r="F18" s="109"/>
      <c r="G18" s="21" t="e">
        <f>VLOOKUP(A18,'Meat - 50021'!$C$2:$L$400, 10, FALSE)</f>
        <v>#N/A</v>
      </c>
      <c r="H18" s="10"/>
      <c r="I18" s="33"/>
      <c r="J18" s="33"/>
    </row>
    <row r="19" spans="1:10" ht="15.5" x14ac:dyDescent="0.35">
      <c r="A19" s="118"/>
      <c r="B19" s="145"/>
      <c r="C19" s="13"/>
      <c r="D19" s="9" t="s">
        <v>25</v>
      </c>
      <c r="E19" s="126"/>
      <c r="F19" s="127"/>
      <c r="G19" s="21" t="e">
        <f>VLOOKUP(A19,'Meat - 50021'!$C$2:$L$400, 10, FALSE)</f>
        <v>#N/A</v>
      </c>
      <c r="H19" s="10"/>
      <c r="I19" s="33"/>
      <c r="J19" s="33"/>
    </row>
    <row r="20" spans="1:10" ht="15.5" x14ac:dyDescent="0.35">
      <c r="A20" s="143" t="s">
        <v>27</v>
      </c>
      <c r="B20" s="144"/>
      <c r="C20" s="16"/>
      <c r="D20" s="15"/>
      <c r="E20" s="124" t="e">
        <f>(H20+H66+H109)/H35</f>
        <v>#N/A</v>
      </c>
      <c r="F20" s="125"/>
      <c r="G20" s="27" t="s">
        <v>24</v>
      </c>
      <c r="H20" s="22" t="e">
        <f>SUM(H21:H22)</f>
        <v>#N/A</v>
      </c>
      <c r="I20" s="33"/>
      <c r="J20" s="33"/>
    </row>
    <row r="21" spans="1:10" ht="15.5" x14ac:dyDescent="0.35">
      <c r="A21" s="118"/>
      <c r="B21" s="145"/>
      <c r="C21" s="13"/>
      <c r="D21" s="9" t="s">
        <v>25</v>
      </c>
      <c r="E21" s="126"/>
      <c r="F21" s="127"/>
      <c r="G21" s="21" t="e">
        <f>VLOOKUP(A21,'Dairy - 50031'!$C$2:$J$400,8, FALSE)</f>
        <v>#N/A</v>
      </c>
      <c r="H21" s="10" t="e">
        <f>G21*C21</f>
        <v>#N/A</v>
      </c>
      <c r="I21" s="33"/>
      <c r="J21" s="33"/>
    </row>
    <row r="22" spans="1:10" ht="15.5" x14ac:dyDescent="0.35">
      <c r="A22" s="118"/>
      <c r="B22" s="145"/>
      <c r="C22" s="13"/>
      <c r="D22" s="9" t="s">
        <v>29</v>
      </c>
      <c r="E22" s="126"/>
      <c r="F22" s="127"/>
      <c r="G22" s="21" t="e">
        <f>VLOOKUP(A22,'Dairy - 50031'!$C$2:$J$400,8, FALSE)</f>
        <v>#N/A</v>
      </c>
      <c r="H22" s="10" t="e">
        <f>G22*C22</f>
        <v>#N/A</v>
      </c>
      <c r="I22" s="33"/>
      <c r="J22" s="33"/>
    </row>
    <row r="23" spans="1:10" ht="15.5" x14ac:dyDescent="0.35">
      <c r="A23" s="143" t="s">
        <v>30</v>
      </c>
      <c r="B23" s="144"/>
      <c r="C23" s="16"/>
      <c r="D23" s="15"/>
      <c r="E23" s="124" t="e">
        <f>(H23+H69+H112)/H35</f>
        <v>#N/A</v>
      </c>
      <c r="F23" s="125"/>
      <c r="G23" s="27" t="s">
        <v>24</v>
      </c>
      <c r="H23" s="22" t="e">
        <f>SUM(H24:H28)</f>
        <v>#N/A</v>
      </c>
      <c r="I23" s="33"/>
      <c r="J23" s="33"/>
    </row>
    <row r="24" spans="1:10" s="2" customFormat="1" ht="15.5" x14ac:dyDescent="0.35">
      <c r="A24" s="118"/>
      <c r="B24" s="119"/>
      <c r="C24" s="13"/>
      <c r="D24" s="9" t="s">
        <v>29</v>
      </c>
      <c r="E24" s="108"/>
      <c r="F24" s="109"/>
      <c r="G24" s="21" t="e">
        <f>VLOOKUP(A24,'Produce - 50051'!$C$2:$L$400, 10, FALSE)</f>
        <v>#N/A</v>
      </c>
      <c r="H24" s="10" t="e">
        <f t="shared" si="0"/>
        <v>#N/A</v>
      </c>
      <c r="I24" s="33"/>
      <c r="J24" s="33"/>
    </row>
    <row r="25" spans="1:10" s="2" customFormat="1" ht="15.5" x14ac:dyDescent="0.35">
      <c r="A25" s="118"/>
      <c r="B25" s="119"/>
      <c r="C25" s="13"/>
      <c r="D25" s="9" t="s">
        <v>29</v>
      </c>
      <c r="E25" s="108"/>
      <c r="F25" s="109"/>
      <c r="G25" s="21" t="e">
        <f>VLOOKUP(A25,'Produce - 50051'!$C$2:$L$400, 10, FALSE)</f>
        <v>#N/A</v>
      </c>
      <c r="H25" s="10" t="e">
        <f t="shared" si="0"/>
        <v>#N/A</v>
      </c>
      <c r="I25" s="33"/>
      <c r="J25" s="33"/>
    </row>
    <row r="26" spans="1:10" s="2" customFormat="1" ht="15.5" x14ac:dyDescent="0.35">
      <c r="A26" s="118"/>
      <c r="B26" s="119"/>
      <c r="C26" s="13"/>
      <c r="D26" s="9" t="s">
        <v>25</v>
      </c>
      <c r="E26" s="108"/>
      <c r="F26" s="109"/>
      <c r="G26" s="21" t="e">
        <f>VLOOKUP(A26,'Produce - 50051'!$C$2:$L$400, 10, FALSE)</f>
        <v>#N/A</v>
      </c>
      <c r="H26" s="10"/>
      <c r="I26" s="33"/>
      <c r="J26" s="33"/>
    </row>
    <row r="27" spans="1:10" s="2" customFormat="1" ht="15.5" x14ac:dyDescent="0.35">
      <c r="A27" s="118"/>
      <c r="B27" s="119"/>
      <c r="C27" s="13"/>
      <c r="D27" s="9" t="s">
        <v>25</v>
      </c>
      <c r="E27" s="108"/>
      <c r="F27" s="109"/>
      <c r="G27" s="21" t="e">
        <f>VLOOKUP(A27,'Produce - 50051'!$C$2:$L$400, 10, FALSE)</f>
        <v>#N/A</v>
      </c>
      <c r="H27" s="10"/>
      <c r="I27" s="33"/>
      <c r="J27" s="33"/>
    </row>
    <row r="28" spans="1:10" s="2" customFormat="1" ht="15.5" x14ac:dyDescent="0.35">
      <c r="A28" s="118"/>
      <c r="B28" s="119"/>
      <c r="C28" s="13"/>
      <c r="D28" s="9" t="s">
        <v>25</v>
      </c>
      <c r="E28" s="108"/>
      <c r="F28" s="109"/>
      <c r="G28" s="21" t="e">
        <f>VLOOKUP(A28,'Produce - 50051'!$C$2:$L$400, 10, FALSE)</f>
        <v>#N/A</v>
      </c>
      <c r="H28" s="10"/>
      <c r="I28" s="33"/>
      <c r="J28" s="33"/>
    </row>
    <row r="29" spans="1:10" s="2" customFormat="1" ht="15.5" x14ac:dyDescent="0.35">
      <c r="A29" s="114" t="s">
        <v>34</v>
      </c>
      <c r="B29" s="115"/>
      <c r="C29" s="16"/>
      <c r="D29" s="15"/>
      <c r="E29" s="122" t="e">
        <f>(H29+H75+H118)/H35</f>
        <v>#N/A</v>
      </c>
      <c r="F29" s="123"/>
      <c r="G29" s="27" t="s">
        <v>24</v>
      </c>
      <c r="H29" s="22">
        <f>SUM(H30:H34)</f>
        <v>0</v>
      </c>
      <c r="I29" s="33"/>
      <c r="J29" s="33"/>
    </row>
    <row r="30" spans="1:10" s="2" customFormat="1" ht="15.5" x14ac:dyDescent="0.35">
      <c r="A30" s="118"/>
      <c r="B30" s="119"/>
      <c r="C30" s="13"/>
      <c r="D30" s="9" t="s">
        <v>29</v>
      </c>
      <c r="E30" s="108"/>
      <c r="F30" s="109"/>
      <c r="G30" s="21" t="e">
        <f>VLOOKUP(A30,'Bakery - 50041'!$C$2:$J$400, 8, FALSE)</f>
        <v>#N/A</v>
      </c>
      <c r="H30" s="10"/>
      <c r="I30" s="33"/>
      <c r="J30" s="33"/>
    </row>
    <row r="31" spans="1:10" s="2" customFormat="1" ht="15.5" x14ac:dyDescent="0.35">
      <c r="A31" s="118"/>
      <c r="B31" s="119"/>
      <c r="C31" s="13"/>
      <c r="D31" s="9" t="s">
        <v>25</v>
      </c>
      <c r="E31" s="108"/>
      <c r="F31" s="109"/>
      <c r="G31" s="21" t="e">
        <f>VLOOKUP(A31,'Bakery - 50041'!$C$2:$J$400, 8, FALSE)</f>
        <v>#N/A</v>
      </c>
      <c r="H31" s="10"/>
      <c r="I31" s="33"/>
      <c r="J31" s="33"/>
    </row>
    <row r="32" spans="1:10" s="2" customFormat="1" ht="15.5" x14ac:dyDescent="0.35">
      <c r="A32" s="114" t="s">
        <v>35</v>
      </c>
      <c r="B32" s="115"/>
      <c r="C32" s="16"/>
      <c r="D32" s="15"/>
      <c r="E32" s="116" t="e">
        <f>(H32+H78+H121)/H35</f>
        <v>#N/A</v>
      </c>
      <c r="F32" s="18"/>
      <c r="G32" s="27" t="s">
        <v>24</v>
      </c>
      <c r="H32" s="22">
        <f>SUM(H33:H34)</f>
        <v>0</v>
      </c>
      <c r="I32" s="33"/>
      <c r="J32" s="33"/>
    </row>
    <row r="33" spans="1:10" ht="15.5" x14ac:dyDescent="0.35">
      <c r="A33" s="118"/>
      <c r="B33" s="119"/>
      <c r="C33" s="13"/>
      <c r="D33" s="9" t="s">
        <v>25</v>
      </c>
      <c r="E33" s="108"/>
      <c r="F33" s="109"/>
      <c r="G33" s="21" t="e">
        <f>VLOOKUP(A33,'Frozen - 50061'!$C$2:$J$400, 8, FALSE)</f>
        <v>#N/A</v>
      </c>
      <c r="H33" s="10"/>
      <c r="I33" s="33"/>
      <c r="J33" s="33"/>
    </row>
    <row r="34" spans="1:10" ht="15.5" x14ac:dyDescent="0.35">
      <c r="A34" s="118"/>
      <c r="B34" s="119"/>
      <c r="C34" s="36"/>
      <c r="D34" s="37" t="s">
        <v>25</v>
      </c>
      <c r="E34" s="120"/>
      <c r="F34" s="121"/>
      <c r="G34" s="21" t="e">
        <f>VLOOKUP(A34,'Frozen - 50061'!$C$2:$J$400, 8, FALSE)</f>
        <v>#N/A</v>
      </c>
      <c r="H34" s="10"/>
      <c r="I34" s="33"/>
      <c r="J34" s="33"/>
    </row>
    <row r="35" spans="1:10" ht="16" thickBot="1" x14ac:dyDescent="0.4">
      <c r="A35" s="30" t="str">
        <f>A7</f>
        <v>Storeroom PL ()</v>
      </c>
      <c r="B35" s="40" t="e">
        <f>E7</f>
        <v>#N/A</v>
      </c>
      <c r="C35" s="31"/>
      <c r="D35" s="31"/>
      <c r="E35" s="31"/>
      <c r="F35" s="4" t="s">
        <v>37</v>
      </c>
      <c r="G35" s="4"/>
      <c r="H35" s="35" t="e">
        <f>H32+H29+H23+H20+H16+H7+H81+H124</f>
        <v>#N/A</v>
      </c>
      <c r="I35" s="54"/>
      <c r="J35" s="54"/>
    </row>
    <row r="36" spans="1:10" ht="16" thickBot="1" x14ac:dyDescent="0.4">
      <c r="A36" s="38" t="str">
        <f>A16</f>
        <v>Meat PL ()</v>
      </c>
      <c r="B36" s="41" t="e">
        <f>E16</f>
        <v>#N/A</v>
      </c>
      <c r="C36" s="29"/>
      <c r="D36" s="29"/>
      <c r="E36" s="29"/>
      <c r="F36" s="4" t="s">
        <v>38</v>
      </c>
      <c r="G36" s="4"/>
      <c r="H36" s="12"/>
      <c r="I36" s="54"/>
      <c r="J36" s="54"/>
    </row>
    <row r="37" spans="1:10" ht="16" thickBot="1" x14ac:dyDescent="0.4">
      <c r="A37" s="39" t="str">
        <f>A20</f>
        <v>Dairy PL ()</v>
      </c>
      <c r="B37" s="42" t="e">
        <f>E20</f>
        <v>#N/A</v>
      </c>
      <c r="C37" s="29"/>
      <c r="D37" s="29"/>
      <c r="E37" s="29"/>
      <c r="F37" s="4" t="s">
        <v>39</v>
      </c>
      <c r="G37" s="4"/>
      <c r="H37" s="11" t="e">
        <f>H35/D3</f>
        <v>#N/A</v>
      </c>
      <c r="I37" s="54"/>
      <c r="J37" s="54"/>
    </row>
    <row r="38" spans="1:10" ht="16" thickBot="1" x14ac:dyDescent="0.4">
      <c r="A38" s="39" t="str">
        <f>A23</f>
        <v>Produce PL ()</v>
      </c>
      <c r="B38" s="42" t="e">
        <f>E23</f>
        <v>#N/A</v>
      </c>
      <c r="C38" s="29"/>
      <c r="D38" s="29"/>
      <c r="E38" s="29"/>
      <c r="F38" s="23" t="s">
        <v>40</v>
      </c>
      <c r="G38" s="54"/>
      <c r="H38" s="25" t="e">
        <f>H36-H37</f>
        <v>#N/A</v>
      </c>
      <c r="I38" s="54"/>
      <c r="J38" s="54"/>
    </row>
    <row r="39" spans="1:10" ht="16" thickBot="1" x14ac:dyDescent="0.4">
      <c r="A39" s="39" t="str">
        <f>A29</f>
        <v>Bakery PL ()</v>
      </c>
      <c r="B39" s="42" t="e">
        <f>E29</f>
        <v>#N/A</v>
      </c>
      <c r="C39" s="29"/>
      <c r="D39" s="29"/>
      <c r="E39" s="29"/>
      <c r="F39" s="24" t="s">
        <v>41</v>
      </c>
      <c r="G39" s="54"/>
      <c r="H39" s="26" t="e">
        <f>H38/H36</f>
        <v>#N/A</v>
      </c>
      <c r="I39" s="54"/>
      <c r="J39" s="54"/>
    </row>
    <row r="40" spans="1:10" ht="16" thickBot="1" x14ac:dyDescent="0.4">
      <c r="A40" s="39" t="str">
        <f>A32</f>
        <v>Frozen PL ()</v>
      </c>
      <c r="B40" s="42" t="e">
        <f>E32</f>
        <v>#N/A</v>
      </c>
      <c r="C40" s="29"/>
      <c r="D40" s="29"/>
      <c r="E40" s="29"/>
      <c r="F40" s="24" t="s">
        <v>42</v>
      </c>
      <c r="G40" s="54"/>
      <c r="H40" s="26" t="e">
        <f>(H38/H37)</f>
        <v>#N/A</v>
      </c>
      <c r="I40" s="54"/>
      <c r="J40" s="54"/>
    </row>
    <row r="41" spans="1:10" ht="18.5" x14ac:dyDescent="0.35">
      <c r="A41" s="89" t="s">
        <v>24</v>
      </c>
      <c r="B41" s="90" t="e">
        <f>SUM(B35:B40)</f>
        <v>#N/A</v>
      </c>
      <c r="C41" s="29"/>
      <c r="D41" s="29"/>
      <c r="E41" s="29"/>
      <c r="F41" s="29"/>
      <c r="G41" s="29"/>
      <c r="H41" s="54"/>
      <c r="I41" s="54"/>
      <c r="J41" s="20"/>
    </row>
    <row r="42" spans="1:10" x14ac:dyDescent="0.35">
      <c r="A42" s="29"/>
      <c r="B42" s="29"/>
      <c r="C42" s="29"/>
      <c r="D42" s="29"/>
      <c r="E42" s="29"/>
      <c r="F42" s="29"/>
      <c r="G42" s="29"/>
      <c r="H42" s="54"/>
      <c r="I42" s="54"/>
      <c r="J42" s="54"/>
    </row>
    <row r="43" spans="1:10" x14ac:dyDescent="0.35">
      <c r="A43" s="130" t="s">
        <v>43</v>
      </c>
      <c r="B43" s="130"/>
      <c r="C43" s="130"/>
      <c r="D43" s="130"/>
      <c r="E43" s="130"/>
      <c r="F43" s="130"/>
      <c r="G43" s="130"/>
      <c r="H43" s="130"/>
      <c r="I43" s="54"/>
      <c r="J43" s="54"/>
    </row>
    <row r="44" spans="1:10" x14ac:dyDescent="0.35">
      <c r="A44" s="130"/>
      <c r="B44" s="130"/>
      <c r="C44" s="130"/>
      <c r="D44" s="130"/>
      <c r="E44" s="130"/>
      <c r="F44" s="130"/>
      <c r="G44" s="130"/>
      <c r="H44" s="130"/>
      <c r="I44" s="54"/>
      <c r="J44" s="54"/>
    </row>
    <row r="45" spans="1:10" x14ac:dyDescent="0.35">
      <c r="A45" s="130"/>
      <c r="B45" s="130"/>
      <c r="C45" s="130"/>
      <c r="D45" s="130"/>
      <c r="E45" s="130"/>
      <c r="F45" s="130"/>
      <c r="G45" s="130"/>
      <c r="H45" s="130"/>
      <c r="I45" s="54"/>
      <c r="J45" s="54"/>
    </row>
    <row r="46" spans="1:10" ht="15" thickBot="1" x14ac:dyDescent="0.4">
      <c r="A46" s="131"/>
      <c r="B46" s="131"/>
      <c r="C46" s="131"/>
      <c r="D46" s="131"/>
      <c r="E46" s="131"/>
      <c r="F46" s="131"/>
      <c r="G46" s="131"/>
      <c r="H46" s="131"/>
      <c r="I46" s="54"/>
      <c r="J46" s="54"/>
    </row>
    <row r="47" spans="1:10" ht="26.5" thickBot="1" x14ac:dyDescent="0.4">
      <c r="A47" s="132" t="s">
        <v>7</v>
      </c>
      <c r="B47" s="132"/>
      <c r="C47" s="132"/>
      <c r="D47" s="133" t="s">
        <v>8</v>
      </c>
      <c r="E47" s="133"/>
      <c r="F47" s="133"/>
      <c r="G47" s="133"/>
      <c r="H47" s="133"/>
      <c r="I47" s="54"/>
      <c r="J47" s="54"/>
    </row>
    <row r="48" spans="1:10" ht="15.5" x14ac:dyDescent="0.35">
      <c r="A48" s="4" t="s">
        <v>9</v>
      </c>
      <c r="B48" s="5"/>
      <c r="C48" s="3"/>
      <c r="D48" s="3"/>
      <c r="E48" s="95" t="s">
        <v>10</v>
      </c>
      <c r="F48" s="96"/>
      <c r="G48" s="96"/>
      <c r="H48" s="97"/>
      <c r="I48" s="54"/>
      <c r="J48" s="54"/>
    </row>
    <row r="49" spans="1:8" ht="16" thickBot="1" x14ac:dyDescent="0.4">
      <c r="A49" s="6" t="s">
        <v>11</v>
      </c>
      <c r="B49" s="5"/>
      <c r="C49" s="4" t="s">
        <v>12</v>
      </c>
      <c r="D49" s="7"/>
      <c r="E49" s="146" t="s">
        <v>13</v>
      </c>
      <c r="F49" s="147"/>
      <c r="G49" s="147"/>
      <c r="H49" s="148"/>
    </row>
    <row r="50" spans="1:8" ht="15.5" x14ac:dyDescent="0.35">
      <c r="A50" s="4" t="s">
        <v>14</v>
      </c>
      <c r="B50" s="34"/>
      <c r="C50" s="4" t="s">
        <v>15</v>
      </c>
      <c r="D50" s="7"/>
      <c r="E50" s="5" t="s">
        <v>45</v>
      </c>
      <c r="F50" s="54"/>
      <c r="G50" s="54"/>
      <c r="H50" s="3"/>
    </row>
    <row r="51" spans="1:8" ht="15.5" x14ac:dyDescent="0.35">
      <c r="A51" s="149" t="s">
        <v>16</v>
      </c>
      <c r="B51" s="150"/>
      <c r="C51" s="153" t="s">
        <v>17</v>
      </c>
      <c r="D51" s="154"/>
      <c r="E51" s="140" t="s">
        <v>18</v>
      </c>
      <c r="F51" s="141"/>
      <c r="G51" s="141"/>
      <c r="H51" s="142"/>
    </row>
    <row r="52" spans="1:8" ht="15.5" x14ac:dyDescent="0.35">
      <c r="A52" s="151"/>
      <c r="B52" s="152"/>
      <c r="C52" s="8" t="s">
        <v>19</v>
      </c>
      <c r="D52" s="8" t="s">
        <v>20</v>
      </c>
      <c r="E52" s="155"/>
      <c r="F52" s="156"/>
      <c r="G52" s="92" t="s">
        <v>21</v>
      </c>
      <c r="H52" s="93" t="s">
        <v>22</v>
      </c>
    </row>
    <row r="53" spans="1:8" ht="15.5" x14ac:dyDescent="0.35">
      <c r="A53" s="157" t="s">
        <v>23</v>
      </c>
      <c r="B53" s="158"/>
      <c r="C53" s="14"/>
      <c r="D53" s="15"/>
      <c r="E53" s="128" t="e">
        <f>H53/$H$81</f>
        <v>#DIV/0!</v>
      </c>
      <c r="F53" s="129"/>
      <c r="G53" s="17" t="s">
        <v>24</v>
      </c>
      <c r="H53" s="22">
        <f>SUM(H54:H61)</f>
        <v>0</v>
      </c>
    </row>
    <row r="54" spans="1:8" ht="15.5" x14ac:dyDescent="0.35">
      <c r="A54" s="118"/>
      <c r="B54" s="145"/>
      <c r="C54" s="19"/>
      <c r="D54" s="9" t="s">
        <v>25</v>
      </c>
      <c r="E54" s="126"/>
      <c r="F54" s="127"/>
      <c r="G54" s="21" t="e">
        <f>VLOOKUP(A54,'Storeroom - 50011'!$C$2:$J$400, 8, FALSE)</f>
        <v>#N/A</v>
      </c>
      <c r="H54" s="10"/>
    </row>
    <row r="55" spans="1:8" ht="15.5" x14ac:dyDescent="0.35">
      <c r="A55" s="118"/>
      <c r="B55" s="145"/>
      <c r="C55" s="19"/>
      <c r="D55" s="9" t="s">
        <v>25</v>
      </c>
      <c r="E55" s="126"/>
      <c r="F55" s="127"/>
      <c r="G55" s="21" t="e">
        <f>VLOOKUP(A55,'Storeroom - 50011'!$C$2:$J$400, 8, FALSE)</f>
        <v>#N/A</v>
      </c>
      <c r="H55" s="10"/>
    </row>
    <row r="56" spans="1:8" ht="15.5" x14ac:dyDescent="0.35">
      <c r="A56" s="118"/>
      <c r="B56" s="145"/>
      <c r="C56" s="19"/>
      <c r="D56" s="9" t="s">
        <v>25</v>
      </c>
      <c r="E56" s="126"/>
      <c r="F56" s="127"/>
      <c r="G56" s="21" t="e">
        <f>VLOOKUP(A56,'Storeroom - 50011'!$C$2:$J$400, 8, FALSE)</f>
        <v>#N/A</v>
      </c>
      <c r="H56" s="10"/>
    </row>
    <row r="57" spans="1:8" ht="15.5" x14ac:dyDescent="0.35">
      <c r="A57" s="118"/>
      <c r="B57" s="145"/>
      <c r="C57" s="19"/>
      <c r="D57" s="9" t="s">
        <v>25</v>
      </c>
      <c r="E57" s="126"/>
      <c r="F57" s="127"/>
      <c r="G57" s="21" t="e">
        <f>VLOOKUP(A57,'Storeroom - 50011'!$C$2:$J$400, 8, FALSE)</f>
        <v>#N/A</v>
      </c>
      <c r="H57" s="10"/>
    </row>
    <row r="58" spans="1:8" ht="15.5" x14ac:dyDescent="0.35">
      <c r="A58" s="118"/>
      <c r="B58" s="145"/>
      <c r="C58" s="19"/>
      <c r="D58" s="9" t="s">
        <v>25</v>
      </c>
      <c r="E58" s="108"/>
      <c r="F58" s="109"/>
      <c r="G58" s="21" t="e">
        <f>VLOOKUP(A58,'Storeroom - 50011'!$C$2:$J$400, 8, FALSE)</f>
        <v>#N/A</v>
      </c>
      <c r="H58" s="10"/>
    </row>
    <row r="59" spans="1:8" ht="15.5" x14ac:dyDescent="0.35">
      <c r="A59" s="118"/>
      <c r="B59" s="145"/>
      <c r="C59" s="19"/>
      <c r="D59" s="9" t="s">
        <v>25</v>
      </c>
      <c r="E59" s="108"/>
      <c r="F59" s="109"/>
      <c r="G59" s="21" t="e">
        <f>VLOOKUP(A59,'Storeroom - 50011'!$C$2:$J$400, 8, FALSE)</f>
        <v>#N/A</v>
      </c>
      <c r="H59" s="10"/>
    </row>
    <row r="60" spans="1:8" ht="15.5" x14ac:dyDescent="0.35">
      <c r="A60" s="118"/>
      <c r="B60" s="145"/>
      <c r="C60" s="19"/>
      <c r="D60" s="9" t="s">
        <v>25</v>
      </c>
      <c r="E60" s="108"/>
      <c r="F60" s="109"/>
      <c r="G60" s="21" t="e">
        <f>VLOOKUP(A60,'Storeroom - 50011'!$C$2:$J$400, 8, FALSE)</f>
        <v>#N/A</v>
      </c>
      <c r="H60" s="10"/>
    </row>
    <row r="61" spans="1:8" ht="15.5" x14ac:dyDescent="0.35">
      <c r="A61" s="118"/>
      <c r="B61" s="145"/>
      <c r="C61" s="19"/>
      <c r="D61" s="9" t="s">
        <v>25</v>
      </c>
      <c r="E61" s="108"/>
      <c r="F61" s="109"/>
      <c r="G61" s="21" t="e">
        <f>VLOOKUP(A61,'Storeroom - 50011'!$C$2:$J$400, 8, FALSE)</f>
        <v>#N/A</v>
      </c>
      <c r="H61" s="10"/>
    </row>
    <row r="62" spans="1:8" ht="15.5" x14ac:dyDescent="0.35">
      <c r="A62" s="143" t="s">
        <v>26</v>
      </c>
      <c r="B62" s="144"/>
      <c r="C62" s="16"/>
      <c r="D62" s="15"/>
      <c r="E62" s="124" t="e">
        <f>H62/$H$81</f>
        <v>#DIV/0!</v>
      </c>
      <c r="F62" s="125"/>
      <c r="G62" s="27" t="s">
        <v>24</v>
      </c>
      <c r="H62" s="22">
        <f>SUM(H63:H65)</f>
        <v>0</v>
      </c>
    </row>
    <row r="63" spans="1:8" ht="15.5" x14ac:dyDescent="0.35">
      <c r="A63" s="118"/>
      <c r="B63" s="145"/>
      <c r="C63" s="13"/>
      <c r="D63" s="9" t="s">
        <v>25</v>
      </c>
      <c r="E63" s="126"/>
      <c r="F63" s="127"/>
      <c r="G63" s="21" t="e">
        <f>VLOOKUP(A63,'Meat - 50021'!$C$2:$L$400, 10, FALSE)</f>
        <v>#N/A</v>
      </c>
      <c r="H63" s="10"/>
    </row>
    <row r="64" spans="1:8" ht="15.5" x14ac:dyDescent="0.35">
      <c r="A64" s="118"/>
      <c r="B64" s="145"/>
      <c r="C64" s="13"/>
      <c r="D64" s="9" t="s">
        <v>25</v>
      </c>
      <c r="E64" s="108"/>
      <c r="F64" s="109"/>
      <c r="G64" s="21" t="e">
        <f>VLOOKUP(A64,'Meat - 50021'!$C$2:$L$400, 10, FALSE)</f>
        <v>#N/A</v>
      </c>
      <c r="H64" s="10"/>
    </row>
    <row r="65" spans="1:8" ht="15.5" x14ac:dyDescent="0.35">
      <c r="A65" s="118"/>
      <c r="B65" s="145"/>
      <c r="C65" s="13"/>
      <c r="D65" s="9" t="s">
        <v>25</v>
      </c>
      <c r="E65" s="126"/>
      <c r="F65" s="127"/>
      <c r="G65" s="21" t="e">
        <f>VLOOKUP(A65,'Meat - 50021'!$C$2:$L$400, 10, FALSE)</f>
        <v>#N/A</v>
      </c>
      <c r="H65" s="10"/>
    </row>
    <row r="66" spans="1:8" ht="15.5" x14ac:dyDescent="0.35">
      <c r="A66" s="143" t="s">
        <v>27</v>
      </c>
      <c r="B66" s="144"/>
      <c r="C66" s="16"/>
      <c r="D66" s="15"/>
      <c r="E66" s="124" t="e">
        <f>H66/$H$81</f>
        <v>#DIV/0!</v>
      </c>
      <c r="F66" s="125"/>
      <c r="G66" s="27" t="s">
        <v>24</v>
      </c>
      <c r="H66" s="22">
        <f>SUM(H67:H68)</f>
        <v>0</v>
      </c>
    </row>
    <row r="67" spans="1:8" ht="15.5" x14ac:dyDescent="0.35">
      <c r="A67" s="118"/>
      <c r="B67" s="145"/>
      <c r="C67" s="13"/>
      <c r="D67" s="9" t="s">
        <v>25</v>
      </c>
      <c r="E67" s="126"/>
      <c r="F67" s="127"/>
      <c r="G67" s="21" t="e">
        <f>VLOOKUP(A67,'Dairy - 50031'!$C$2:$J$400,8, FALSE)</f>
        <v>#N/A</v>
      </c>
      <c r="H67" s="10"/>
    </row>
    <row r="68" spans="1:8" ht="15.5" x14ac:dyDescent="0.35">
      <c r="A68" s="118"/>
      <c r="B68" s="145"/>
      <c r="C68" s="13"/>
      <c r="D68" s="9" t="s">
        <v>25</v>
      </c>
      <c r="E68" s="126"/>
      <c r="F68" s="127"/>
      <c r="G68" s="21" t="e">
        <f>VLOOKUP(A68,'Dairy - 50031'!$C$2:$J$400,8, FALSE)</f>
        <v>#N/A</v>
      </c>
      <c r="H68" s="10"/>
    </row>
    <row r="69" spans="1:8" ht="15.5" x14ac:dyDescent="0.35">
      <c r="A69" s="143" t="s">
        <v>30</v>
      </c>
      <c r="B69" s="144"/>
      <c r="C69" s="16"/>
      <c r="D69" s="15"/>
      <c r="E69" s="124" t="e">
        <f>H69/H81</f>
        <v>#DIV/0!</v>
      </c>
      <c r="F69" s="125"/>
      <c r="G69" s="27" t="s">
        <v>24</v>
      </c>
      <c r="H69" s="22">
        <f>SUM(H70:H74)</f>
        <v>0</v>
      </c>
    </row>
    <row r="70" spans="1:8" ht="15.5" x14ac:dyDescent="0.35">
      <c r="A70" s="118"/>
      <c r="B70" s="119"/>
      <c r="C70" s="13"/>
      <c r="D70" s="9" t="s">
        <v>25</v>
      </c>
      <c r="E70" s="108"/>
      <c r="F70" s="109"/>
      <c r="G70" s="21" t="e">
        <f>VLOOKUP(A70,'Produce - 50051'!$C$2:$L$400, 10, FALSE)</f>
        <v>#N/A</v>
      </c>
      <c r="H70" s="10"/>
    </row>
    <row r="71" spans="1:8" ht="15.5" x14ac:dyDescent="0.35">
      <c r="A71" s="118"/>
      <c r="B71" s="119"/>
      <c r="C71" s="13"/>
      <c r="D71" s="9" t="s">
        <v>25</v>
      </c>
      <c r="E71" s="108"/>
      <c r="F71" s="109"/>
      <c r="G71" s="21" t="e">
        <f>VLOOKUP(A71,'Produce - 50051'!$C$2:$L$400, 10, FALSE)</f>
        <v>#N/A</v>
      </c>
      <c r="H71" s="10"/>
    </row>
    <row r="72" spans="1:8" ht="15.5" x14ac:dyDescent="0.35">
      <c r="A72" s="118"/>
      <c r="B72" s="119"/>
      <c r="C72" s="13"/>
      <c r="D72" s="9" t="s">
        <v>25</v>
      </c>
      <c r="E72" s="108"/>
      <c r="F72" s="109"/>
      <c r="G72" s="21" t="e">
        <f>VLOOKUP(A72,'Produce - 50051'!$C$2:$L$400, 10, FALSE)</f>
        <v>#N/A</v>
      </c>
      <c r="H72" s="10"/>
    </row>
    <row r="73" spans="1:8" ht="15.5" x14ac:dyDescent="0.35">
      <c r="A73" s="118"/>
      <c r="B73" s="119"/>
      <c r="C73" s="13"/>
      <c r="D73" s="9" t="s">
        <v>25</v>
      </c>
      <c r="E73" s="108"/>
      <c r="F73" s="109"/>
      <c r="G73" s="21" t="e">
        <f>VLOOKUP(A73,'Produce - 50051'!$C$2:$L$400, 10, FALSE)</f>
        <v>#N/A</v>
      </c>
      <c r="H73" s="10"/>
    </row>
    <row r="74" spans="1:8" ht="15.5" x14ac:dyDescent="0.35">
      <c r="A74" s="118"/>
      <c r="B74" s="119"/>
      <c r="C74" s="13"/>
      <c r="D74" s="9" t="s">
        <v>25</v>
      </c>
      <c r="E74" s="108"/>
      <c r="F74" s="109"/>
      <c r="G74" s="21" t="e">
        <f>VLOOKUP(A74,'Produce - 50051'!$C$2:$L$400, 10, FALSE)</f>
        <v>#N/A</v>
      </c>
      <c r="H74" s="10"/>
    </row>
    <row r="75" spans="1:8" ht="15.5" x14ac:dyDescent="0.35">
      <c r="A75" s="114" t="s">
        <v>34</v>
      </c>
      <c r="B75" s="115"/>
      <c r="C75" s="16"/>
      <c r="D75" s="15"/>
      <c r="E75" s="122" t="e">
        <f>H75/$H$81</f>
        <v>#DIV/0!</v>
      </c>
      <c r="F75" s="123"/>
      <c r="G75" s="27" t="s">
        <v>24</v>
      </c>
      <c r="H75" s="22">
        <f>SUM(H76:H80)</f>
        <v>0</v>
      </c>
    </row>
    <row r="76" spans="1:8" ht="15.5" x14ac:dyDescent="0.35">
      <c r="A76" s="118"/>
      <c r="B76" s="119"/>
      <c r="C76" s="13"/>
      <c r="D76" s="9" t="s">
        <v>29</v>
      </c>
      <c r="E76" s="108"/>
      <c r="F76" s="109"/>
      <c r="G76" s="21" t="e">
        <f>VLOOKUP(A76,'Bakery - 50041'!$C$2:$J$400, 8, FALSE)</f>
        <v>#N/A</v>
      </c>
      <c r="H76" s="10"/>
    </row>
    <row r="77" spans="1:8" ht="15.5" x14ac:dyDescent="0.35">
      <c r="A77" s="118"/>
      <c r="B77" s="119"/>
      <c r="C77" s="13"/>
      <c r="D77" s="9" t="s">
        <v>25</v>
      </c>
      <c r="E77" s="108"/>
      <c r="F77" s="109"/>
      <c r="G77" s="21" t="e">
        <f>VLOOKUP(A77,'Bakery - 50041'!$C$2:$J$400, 8, FALSE)</f>
        <v>#N/A</v>
      </c>
      <c r="H77" s="10"/>
    </row>
    <row r="78" spans="1:8" ht="15.5" x14ac:dyDescent="0.35">
      <c r="A78" s="114" t="s">
        <v>35</v>
      </c>
      <c r="B78" s="115"/>
      <c r="C78" s="16"/>
      <c r="D78" s="15"/>
      <c r="E78" s="116" t="e">
        <f>H78/$H$81</f>
        <v>#DIV/0!</v>
      </c>
      <c r="F78" s="18"/>
      <c r="G78" s="27" t="s">
        <v>24</v>
      </c>
      <c r="H78" s="22">
        <f>SUM(H79:H80)</f>
        <v>0</v>
      </c>
    </row>
    <row r="79" spans="1:8" ht="15.5" x14ac:dyDescent="0.35">
      <c r="A79" s="118"/>
      <c r="B79" s="119"/>
      <c r="C79" s="13"/>
      <c r="D79" s="9" t="s">
        <v>25</v>
      </c>
      <c r="E79" s="108"/>
      <c r="F79" s="109"/>
      <c r="G79" s="21" t="e">
        <f>VLOOKUP(A79,'Frozen - 50061'!$C$2:$J$400, 8, FALSE)</f>
        <v>#N/A</v>
      </c>
      <c r="H79" s="10"/>
    </row>
    <row r="80" spans="1:8" ht="15.5" x14ac:dyDescent="0.35">
      <c r="A80" s="118"/>
      <c r="B80" s="119"/>
      <c r="C80" s="36"/>
      <c r="D80" s="37" t="s">
        <v>25</v>
      </c>
      <c r="E80" s="120"/>
      <c r="F80" s="121"/>
      <c r="G80" s="21" t="e">
        <f>VLOOKUP(A80,'Frozen - 50061'!$C$2:$J$400, 8, FALSE)</f>
        <v>#N/A</v>
      </c>
      <c r="H80" s="10"/>
    </row>
    <row r="81" spans="1:8" ht="16" thickBot="1" x14ac:dyDescent="0.4">
      <c r="A81" s="30"/>
      <c r="B81" s="40"/>
      <c r="C81" s="31"/>
      <c r="D81" s="31"/>
      <c r="E81" s="31"/>
      <c r="F81" s="4" t="s">
        <v>37</v>
      </c>
      <c r="G81" s="4"/>
      <c r="H81" s="35">
        <f>H78+H75+H69+H66+H62+H53</f>
        <v>0</v>
      </c>
    </row>
    <row r="82" spans="1:8" ht="16" thickBot="1" x14ac:dyDescent="0.4">
      <c r="A82" s="38"/>
      <c r="B82" s="41"/>
      <c r="C82" s="29"/>
      <c r="D82" s="29"/>
      <c r="E82" s="29"/>
      <c r="F82" s="4" t="s">
        <v>38</v>
      </c>
      <c r="G82" s="4"/>
      <c r="H82" s="12"/>
    </row>
    <row r="83" spans="1:8" ht="16" thickBot="1" x14ac:dyDescent="0.4">
      <c r="A83" s="39"/>
      <c r="B83" s="42"/>
      <c r="C83" s="29"/>
      <c r="D83" s="29"/>
      <c r="E83" s="29"/>
      <c r="F83" s="4" t="s">
        <v>39</v>
      </c>
      <c r="G83" s="4"/>
      <c r="H83" s="11" t="e">
        <f>H81/D49</f>
        <v>#DIV/0!</v>
      </c>
    </row>
    <row r="84" spans="1:8" ht="16" thickBot="1" x14ac:dyDescent="0.4">
      <c r="A84" s="39"/>
      <c r="B84" s="42"/>
      <c r="C84" s="29"/>
      <c r="D84" s="29"/>
      <c r="E84" s="29"/>
      <c r="F84" s="23" t="s">
        <v>40</v>
      </c>
      <c r="G84" s="54"/>
      <c r="H84" s="25" t="e">
        <f>H82-H83</f>
        <v>#DIV/0!</v>
      </c>
    </row>
    <row r="85" spans="1:8" ht="16" thickBot="1" x14ac:dyDescent="0.4">
      <c r="A85" s="39"/>
      <c r="B85" s="42"/>
      <c r="C85" s="29"/>
      <c r="D85" s="29"/>
      <c r="E85" s="29"/>
      <c r="F85" s="24" t="s">
        <v>41</v>
      </c>
      <c r="G85" s="54"/>
      <c r="H85" s="88" t="e">
        <f>H84/H82</f>
        <v>#DIV/0!</v>
      </c>
    </row>
    <row r="86" spans="1:8" ht="18" customHeight="1" x14ac:dyDescent="0.35">
      <c r="A86" s="130" t="s">
        <v>52</v>
      </c>
      <c r="B86" s="130"/>
      <c r="C86" s="130"/>
      <c r="D86" s="130"/>
      <c r="E86" s="130"/>
      <c r="F86" s="130"/>
      <c r="G86" s="130"/>
      <c r="H86" s="130"/>
    </row>
    <row r="87" spans="1:8" ht="15" customHeight="1" x14ac:dyDescent="0.35">
      <c r="A87" s="130"/>
      <c r="B87" s="130"/>
      <c r="C87" s="130"/>
      <c r="D87" s="130"/>
      <c r="E87" s="130"/>
      <c r="F87" s="130"/>
      <c r="G87" s="130"/>
      <c r="H87" s="130"/>
    </row>
    <row r="88" spans="1:8" ht="15" customHeight="1" x14ac:dyDescent="0.35">
      <c r="A88" s="130"/>
      <c r="B88" s="130"/>
      <c r="C88" s="130"/>
      <c r="D88" s="130"/>
      <c r="E88" s="130"/>
      <c r="F88" s="130"/>
      <c r="G88" s="130"/>
      <c r="H88" s="130"/>
    </row>
    <row r="89" spans="1:8" ht="15" customHeight="1" thickBot="1" x14ac:dyDescent="0.4">
      <c r="A89" s="131"/>
      <c r="B89" s="131"/>
      <c r="C89" s="131"/>
      <c r="D89" s="131"/>
      <c r="E89" s="131"/>
      <c r="F89" s="131"/>
      <c r="G89" s="131"/>
      <c r="H89" s="131"/>
    </row>
    <row r="90" spans="1:8" ht="26.5" thickBot="1" x14ac:dyDescent="0.4">
      <c r="A90" s="132" t="s">
        <v>7</v>
      </c>
      <c r="B90" s="132"/>
      <c r="C90" s="132"/>
      <c r="D90" s="133" t="s">
        <v>8</v>
      </c>
      <c r="E90" s="133"/>
      <c r="F90" s="133"/>
      <c r="G90" s="133"/>
      <c r="H90" s="133"/>
    </row>
    <row r="91" spans="1:8" ht="15.5" x14ac:dyDescent="0.35">
      <c r="A91" s="4" t="s">
        <v>9</v>
      </c>
      <c r="B91" s="5"/>
      <c r="C91" s="3"/>
      <c r="D91" s="3"/>
      <c r="E91" s="95" t="s">
        <v>10</v>
      </c>
      <c r="F91" s="96"/>
      <c r="G91" s="96"/>
      <c r="H91" s="97"/>
    </row>
    <row r="92" spans="1:8" ht="16" thickBot="1" x14ac:dyDescent="0.4">
      <c r="A92" s="6" t="s">
        <v>11</v>
      </c>
      <c r="B92" s="5"/>
      <c r="C92" s="4" t="s">
        <v>12</v>
      </c>
      <c r="D92" s="7"/>
      <c r="E92" s="94" t="s">
        <v>13</v>
      </c>
      <c r="F92" s="110"/>
      <c r="G92" s="110"/>
      <c r="H92" s="111"/>
    </row>
    <row r="93" spans="1:8" ht="15.5" x14ac:dyDescent="0.35">
      <c r="A93" s="4" t="s">
        <v>14</v>
      </c>
      <c r="B93" s="34"/>
      <c r="C93" s="4" t="s">
        <v>15</v>
      </c>
      <c r="D93" s="7"/>
      <c r="E93" s="5" t="s">
        <v>45</v>
      </c>
      <c r="F93" s="54"/>
      <c r="G93" s="54"/>
      <c r="H93" s="3"/>
    </row>
    <row r="94" spans="1:8" ht="15.5" x14ac:dyDescent="0.35">
      <c r="A94" s="134" t="s">
        <v>16</v>
      </c>
      <c r="B94" s="135"/>
      <c r="C94" s="138" t="s">
        <v>17</v>
      </c>
      <c r="D94" s="139"/>
      <c r="E94" s="140" t="s">
        <v>18</v>
      </c>
      <c r="F94" s="141"/>
      <c r="G94" s="141"/>
      <c r="H94" s="142"/>
    </row>
    <row r="95" spans="1:8" ht="15.5" x14ac:dyDescent="0.35">
      <c r="A95" s="136"/>
      <c r="B95" s="137"/>
      <c r="C95" s="8" t="s">
        <v>19</v>
      </c>
      <c r="D95" s="8" t="s">
        <v>20</v>
      </c>
      <c r="E95" s="112"/>
      <c r="F95" s="113"/>
      <c r="G95" s="28" t="s">
        <v>21</v>
      </c>
      <c r="H95" s="91" t="s">
        <v>22</v>
      </c>
    </row>
    <row r="96" spans="1:8" ht="15.5" x14ac:dyDescent="0.35">
      <c r="A96" s="105" t="s">
        <v>23</v>
      </c>
      <c r="B96" s="106"/>
      <c r="C96" s="14"/>
      <c r="D96" s="15"/>
      <c r="E96" s="128" t="e">
        <f>H96/$H$124</f>
        <v>#DIV/0!</v>
      </c>
      <c r="F96" s="129"/>
      <c r="G96" s="17" t="s">
        <v>24</v>
      </c>
      <c r="H96" s="22">
        <f>SUM(H97:H104)</f>
        <v>0</v>
      </c>
    </row>
    <row r="97" spans="1:8" ht="15.5" x14ac:dyDescent="0.35">
      <c r="A97" s="118"/>
      <c r="B97" s="119"/>
      <c r="C97" s="19"/>
      <c r="D97" s="9" t="s">
        <v>25</v>
      </c>
      <c r="E97" s="126"/>
      <c r="F97" s="127"/>
      <c r="G97" s="21" t="e">
        <f>VLOOKUP(A97,'Storeroom - 50011'!$C$2:$J$400, 8, FALSE)</f>
        <v>#N/A</v>
      </c>
      <c r="H97" s="10"/>
    </row>
    <row r="98" spans="1:8" ht="15.5" x14ac:dyDescent="0.35">
      <c r="A98" s="118"/>
      <c r="B98" s="119"/>
      <c r="C98" s="19"/>
      <c r="D98" s="9" t="s">
        <v>25</v>
      </c>
      <c r="E98" s="126"/>
      <c r="F98" s="127"/>
      <c r="G98" s="21" t="e">
        <f>VLOOKUP(A98,'Storeroom - 50011'!$C$2:$J$400, 8, FALSE)</f>
        <v>#N/A</v>
      </c>
      <c r="H98" s="10"/>
    </row>
    <row r="99" spans="1:8" ht="15.5" x14ac:dyDescent="0.35">
      <c r="A99" s="118"/>
      <c r="B99" s="119"/>
      <c r="C99" s="19"/>
      <c r="D99" s="9" t="s">
        <v>25</v>
      </c>
      <c r="E99" s="126"/>
      <c r="F99" s="127"/>
      <c r="G99" s="21" t="e">
        <f>VLOOKUP(A99,'Storeroom - 50011'!$C$2:$J$400, 8, FALSE)</f>
        <v>#N/A</v>
      </c>
      <c r="H99" s="10"/>
    </row>
    <row r="100" spans="1:8" ht="15.5" x14ac:dyDescent="0.35">
      <c r="A100" s="118"/>
      <c r="B100" s="119"/>
      <c r="C100" s="19"/>
      <c r="D100" s="9" t="s">
        <v>25</v>
      </c>
      <c r="E100" s="126"/>
      <c r="F100" s="127"/>
      <c r="G100" s="21" t="e">
        <f>VLOOKUP(A100,'Storeroom - 50011'!$C$2:$J$400, 8, FALSE)</f>
        <v>#N/A</v>
      </c>
      <c r="H100" s="10"/>
    </row>
    <row r="101" spans="1:8" ht="15.5" x14ac:dyDescent="0.35">
      <c r="A101" s="118"/>
      <c r="B101" s="119"/>
      <c r="C101" s="19"/>
      <c r="D101" s="9" t="s">
        <v>25</v>
      </c>
      <c r="E101" s="108"/>
      <c r="F101" s="109"/>
      <c r="G101" s="21" t="e">
        <f>VLOOKUP(A101,'Storeroom - 50011'!$C$2:$J$400, 8, FALSE)</f>
        <v>#N/A</v>
      </c>
      <c r="H101" s="10"/>
    </row>
    <row r="102" spans="1:8" ht="15.5" x14ac:dyDescent="0.35">
      <c r="A102" s="118"/>
      <c r="B102" s="119"/>
      <c r="C102" s="19"/>
      <c r="D102" s="9" t="s">
        <v>25</v>
      </c>
      <c r="E102" s="108"/>
      <c r="F102" s="109"/>
      <c r="G102" s="21" t="e">
        <f>VLOOKUP(A102,'Storeroom - 50011'!$C$2:$J$400, 8, FALSE)</f>
        <v>#N/A</v>
      </c>
      <c r="H102" s="10"/>
    </row>
    <row r="103" spans="1:8" ht="15.5" x14ac:dyDescent="0.35">
      <c r="A103" s="118"/>
      <c r="B103" s="119"/>
      <c r="C103" s="19"/>
      <c r="D103" s="9" t="s">
        <v>25</v>
      </c>
      <c r="E103" s="108"/>
      <c r="F103" s="109"/>
      <c r="G103" s="21" t="e">
        <f>VLOOKUP(A103,'Storeroom - 50011'!$C$2:$J$400, 8, FALSE)</f>
        <v>#N/A</v>
      </c>
      <c r="H103" s="10"/>
    </row>
    <row r="104" spans="1:8" ht="15.5" x14ac:dyDescent="0.35">
      <c r="A104" s="118"/>
      <c r="B104" s="119"/>
      <c r="C104" s="19"/>
      <c r="D104" s="9" t="s">
        <v>25</v>
      </c>
      <c r="E104" s="108"/>
      <c r="F104" s="109"/>
      <c r="G104" s="21" t="e">
        <f>VLOOKUP(A104,'Storeroom - 50011'!$C$2:$J$400, 8, FALSE)</f>
        <v>#N/A</v>
      </c>
      <c r="H104" s="10"/>
    </row>
    <row r="105" spans="1:8" ht="15.5" x14ac:dyDescent="0.35">
      <c r="A105" s="114" t="s">
        <v>26</v>
      </c>
      <c r="B105" s="115"/>
      <c r="C105" s="16"/>
      <c r="D105" s="15"/>
      <c r="E105" s="124" t="e">
        <f>H105/$H$124</f>
        <v>#DIV/0!</v>
      </c>
      <c r="F105" s="125"/>
      <c r="G105" s="27" t="s">
        <v>24</v>
      </c>
      <c r="H105" s="22">
        <f>SUM(H106:H108)</f>
        <v>0</v>
      </c>
    </row>
    <row r="106" spans="1:8" ht="15.5" x14ac:dyDescent="0.35">
      <c r="A106" s="118"/>
      <c r="B106" s="119"/>
      <c r="C106" s="13"/>
      <c r="D106" s="9" t="s">
        <v>25</v>
      </c>
      <c r="E106" s="126"/>
      <c r="F106" s="127"/>
      <c r="G106" s="21" t="e">
        <f>VLOOKUP(A106,'Meat - 50021'!$C$2:$L$400, 10, FALSE)</f>
        <v>#N/A</v>
      </c>
      <c r="H106" s="10"/>
    </row>
    <row r="107" spans="1:8" ht="15.5" x14ac:dyDescent="0.35">
      <c r="A107" s="118"/>
      <c r="B107" s="119"/>
      <c r="C107" s="13"/>
      <c r="D107" s="9" t="s">
        <v>25</v>
      </c>
      <c r="E107" s="108"/>
      <c r="F107" s="109"/>
      <c r="G107" s="21" t="e">
        <f>VLOOKUP(A107,'Meat - 50021'!$C$2:$L$400, 10, FALSE)</f>
        <v>#N/A</v>
      </c>
      <c r="H107" s="10"/>
    </row>
    <row r="108" spans="1:8" ht="15.5" x14ac:dyDescent="0.35">
      <c r="A108" s="118"/>
      <c r="B108" s="119"/>
      <c r="C108" s="13"/>
      <c r="D108" s="9" t="s">
        <v>25</v>
      </c>
      <c r="E108" s="126"/>
      <c r="F108" s="127"/>
      <c r="G108" s="21" t="e">
        <f>VLOOKUP(A108,'Meat - 50021'!$C$2:$L$400, 10, FALSE)</f>
        <v>#N/A</v>
      </c>
      <c r="H108" s="10"/>
    </row>
    <row r="109" spans="1:8" ht="15.5" x14ac:dyDescent="0.35">
      <c r="A109" s="114" t="s">
        <v>27</v>
      </c>
      <c r="B109" s="115"/>
      <c r="C109" s="16"/>
      <c r="D109" s="15"/>
      <c r="E109" s="124" t="e">
        <f>H109/$H$124</f>
        <v>#DIV/0!</v>
      </c>
      <c r="F109" s="125"/>
      <c r="G109" s="27" t="s">
        <v>24</v>
      </c>
      <c r="H109" s="22">
        <f>SUM(H110:H111)</f>
        <v>0</v>
      </c>
    </row>
    <row r="110" spans="1:8" ht="15.5" x14ac:dyDescent="0.35">
      <c r="A110" s="118"/>
      <c r="B110" s="119"/>
      <c r="C110" s="13"/>
      <c r="D110" s="9" t="s">
        <v>25</v>
      </c>
      <c r="E110" s="126"/>
      <c r="F110" s="127"/>
      <c r="G110" s="21" t="e">
        <f>VLOOKUP(A110,'Dairy - 50031'!$C$2:$J$400,8, FALSE)</f>
        <v>#N/A</v>
      </c>
      <c r="H110" s="10"/>
    </row>
    <row r="111" spans="1:8" ht="15.5" x14ac:dyDescent="0.35">
      <c r="A111" s="118"/>
      <c r="B111" s="119"/>
      <c r="C111" s="13"/>
      <c r="D111" s="9" t="s">
        <v>25</v>
      </c>
      <c r="E111" s="126"/>
      <c r="F111" s="127"/>
      <c r="G111" s="21" t="e">
        <f>VLOOKUP(A111,'Dairy - 50031'!$C$2:$J$400,8, FALSE)</f>
        <v>#N/A</v>
      </c>
      <c r="H111" s="10"/>
    </row>
    <row r="112" spans="1:8" ht="15.5" x14ac:dyDescent="0.35">
      <c r="A112" s="114" t="s">
        <v>30</v>
      </c>
      <c r="B112" s="115"/>
      <c r="C112" s="16"/>
      <c r="D112" s="15"/>
      <c r="E112" s="124" t="e">
        <f>H112/$H$124</f>
        <v>#DIV/0!</v>
      </c>
      <c r="F112" s="125"/>
      <c r="G112" s="27" t="s">
        <v>24</v>
      </c>
      <c r="H112" s="22">
        <f>SUM(H113:H117)</f>
        <v>0</v>
      </c>
    </row>
    <row r="113" spans="1:8" ht="15.5" x14ac:dyDescent="0.35">
      <c r="A113" s="118"/>
      <c r="B113" s="119"/>
      <c r="C113" s="13"/>
      <c r="D113" s="9" t="s">
        <v>25</v>
      </c>
      <c r="E113" s="108"/>
      <c r="F113" s="109"/>
      <c r="G113" s="21" t="e">
        <f>VLOOKUP(A113,'Produce - 50051'!$C$2:$L$400, 10, FALSE)</f>
        <v>#N/A</v>
      </c>
      <c r="H113" s="10"/>
    </row>
    <row r="114" spans="1:8" ht="15.5" x14ac:dyDescent="0.35">
      <c r="A114" s="118"/>
      <c r="B114" s="119"/>
      <c r="C114" s="13"/>
      <c r="D114" s="9" t="s">
        <v>25</v>
      </c>
      <c r="E114" s="108"/>
      <c r="F114" s="109"/>
      <c r="G114" s="21" t="e">
        <f>VLOOKUP(A114,'Produce - 50051'!$C$2:$L$400, 10, FALSE)</f>
        <v>#N/A</v>
      </c>
      <c r="H114" s="10"/>
    </row>
    <row r="115" spans="1:8" ht="15.5" x14ac:dyDescent="0.35">
      <c r="A115" s="118"/>
      <c r="B115" s="119"/>
      <c r="C115" s="13"/>
      <c r="D115" s="9" t="s">
        <v>25</v>
      </c>
      <c r="E115" s="108"/>
      <c r="F115" s="109"/>
      <c r="G115" s="21" t="e">
        <f>VLOOKUP(A115,'Produce - 50051'!$C$2:$L$400, 10, FALSE)</f>
        <v>#N/A</v>
      </c>
      <c r="H115" s="10"/>
    </row>
    <row r="116" spans="1:8" ht="15.5" x14ac:dyDescent="0.35">
      <c r="A116" s="118"/>
      <c r="B116" s="119"/>
      <c r="C116" s="13"/>
      <c r="D116" s="9" t="s">
        <v>25</v>
      </c>
      <c r="E116" s="108"/>
      <c r="F116" s="109"/>
      <c r="G116" s="21" t="e">
        <f>VLOOKUP(A116,'Produce - 50051'!$C$2:$L$400, 10, FALSE)</f>
        <v>#N/A</v>
      </c>
      <c r="H116" s="10"/>
    </row>
    <row r="117" spans="1:8" ht="15.5" x14ac:dyDescent="0.35">
      <c r="A117" s="118"/>
      <c r="B117" s="119"/>
      <c r="C117" s="13"/>
      <c r="D117" s="9" t="s">
        <v>25</v>
      </c>
      <c r="E117" s="108"/>
      <c r="F117" s="109"/>
      <c r="G117" s="21" t="e">
        <f>VLOOKUP(A117,'Produce - 50051'!$C$2:$L$400, 10, FALSE)</f>
        <v>#N/A</v>
      </c>
      <c r="H117" s="10"/>
    </row>
    <row r="118" spans="1:8" ht="15.5" x14ac:dyDescent="0.35">
      <c r="A118" s="114" t="s">
        <v>34</v>
      </c>
      <c r="B118" s="115"/>
      <c r="C118" s="16"/>
      <c r="D118" s="15"/>
      <c r="E118" s="122" t="e">
        <f>H118/$H$124</f>
        <v>#DIV/0!</v>
      </c>
      <c r="F118" s="123"/>
      <c r="G118" s="27" t="s">
        <v>24</v>
      </c>
      <c r="H118" s="22">
        <f>SUM(H119:H123)</f>
        <v>0</v>
      </c>
    </row>
    <row r="119" spans="1:8" ht="15.5" x14ac:dyDescent="0.35">
      <c r="A119" s="118"/>
      <c r="B119" s="119"/>
      <c r="C119" s="13"/>
      <c r="D119" s="9" t="s">
        <v>29</v>
      </c>
      <c r="E119" s="108"/>
      <c r="F119" s="109"/>
      <c r="G119" s="21" t="e">
        <f>VLOOKUP(A119,'Bakery - 50041'!$C$2:$J$400, 8, FALSE)</f>
        <v>#N/A</v>
      </c>
      <c r="H119" s="10"/>
    </row>
    <row r="120" spans="1:8" ht="15.5" x14ac:dyDescent="0.35">
      <c r="A120" s="118"/>
      <c r="B120" s="119"/>
      <c r="C120" s="13"/>
      <c r="D120" s="9" t="s">
        <v>25</v>
      </c>
      <c r="E120" s="108"/>
      <c r="F120" s="109"/>
      <c r="G120" s="21" t="e">
        <f>VLOOKUP(A120,'Bakery - 50041'!$C$2:$J$400, 8, FALSE)</f>
        <v>#N/A</v>
      </c>
      <c r="H120" s="10"/>
    </row>
    <row r="121" spans="1:8" ht="15.5" x14ac:dyDescent="0.35">
      <c r="A121" s="114" t="s">
        <v>35</v>
      </c>
      <c r="B121" s="115"/>
      <c r="C121" s="16"/>
      <c r="D121" s="15"/>
      <c r="E121" s="116" t="e">
        <f>H121/$H$124</f>
        <v>#DIV/0!</v>
      </c>
      <c r="F121" s="18"/>
      <c r="G121" s="27" t="s">
        <v>24</v>
      </c>
      <c r="H121" s="22">
        <f>SUM(H122:H123)</f>
        <v>0</v>
      </c>
    </row>
    <row r="122" spans="1:8" ht="15.5" x14ac:dyDescent="0.35">
      <c r="A122" s="118"/>
      <c r="B122" s="119"/>
      <c r="C122" s="13"/>
      <c r="D122" s="9" t="s">
        <v>25</v>
      </c>
      <c r="E122" s="108"/>
      <c r="F122" s="109"/>
      <c r="G122" s="21" t="e">
        <f>VLOOKUP(A122,'Frozen - 50061'!$C$2:$J$400, 8, FALSE)</f>
        <v>#N/A</v>
      </c>
      <c r="H122" s="10"/>
    </row>
    <row r="123" spans="1:8" ht="15.5" x14ac:dyDescent="0.35">
      <c r="A123" s="118"/>
      <c r="B123" s="119"/>
      <c r="C123" s="36"/>
      <c r="D123" s="37" t="s">
        <v>25</v>
      </c>
      <c r="E123" s="120"/>
      <c r="F123" s="121"/>
      <c r="G123" s="21" t="e">
        <f>VLOOKUP(A123,'Frozen - 50061'!$C$2:$J$400, 8, FALSE)</f>
        <v>#N/A</v>
      </c>
      <c r="H123" s="10"/>
    </row>
    <row r="124" spans="1:8" ht="16" thickBot="1" x14ac:dyDescent="0.4">
      <c r="A124" s="30"/>
      <c r="B124" s="40"/>
      <c r="C124" s="31"/>
      <c r="D124" s="31"/>
      <c r="E124" s="31"/>
      <c r="F124" s="4" t="s">
        <v>37</v>
      </c>
      <c r="G124" s="4"/>
      <c r="H124" s="35">
        <f>H121+H118+H112+H109+H105+H96</f>
        <v>0</v>
      </c>
    </row>
    <row r="125" spans="1:8" ht="16" thickBot="1" x14ac:dyDescent="0.4">
      <c r="A125" s="38"/>
      <c r="B125" s="41"/>
      <c r="C125" s="29"/>
      <c r="D125" s="29"/>
      <c r="E125" s="29"/>
      <c r="F125" s="4" t="s">
        <v>38</v>
      </c>
      <c r="G125" s="4"/>
      <c r="H125" s="12"/>
    </row>
    <row r="126" spans="1:8" ht="16" thickBot="1" x14ac:dyDescent="0.4">
      <c r="A126" s="39"/>
      <c r="B126" s="42"/>
      <c r="C126" s="29"/>
      <c r="D126" s="29"/>
      <c r="E126" s="29"/>
      <c r="F126" s="4" t="s">
        <v>39</v>
      </c>
      <c r="G126" s="4"/>
      <c r="H126" s="11" t="e">
        <f>H124/D93</f>
        <v>#DIV/0!</v>
      </c>
    </row>
    <row r="127" spans="1:8" ht="16" thickBot="1" x14ac:dyDescent="0.4">
      <c r="A127" s="39"/>
      <c r="B127" s="42"/>
      <c r="C127" s="29"/>
      <c r="D127" s="29"/>
      <c r="E127" s="29"/>
      <c r="F127" s="23" t="s">
        <v>40</v>
      </c>
      <c r="G127" s="54"/>
      <c r="H127" s="25" t="e">
        <f>H125-H126</f>
        <v>#DIV/0!</v>
      </c>
    </row>
    <row r="128" spans="1:8" ht="16" thickBot="1" x14ac:dyDescent="0.4">
      <c r="A128" s="39"/>
      <c r="B128" s="42"/>
      <c r="C128" s="29"/>
      <c r="D128" s="29"/>
      <c r="E128" s="29"/>
      <c r="F128" s="24" t="s">
        <v>41</v>
      </c>
      <c r="G128" s="54"/>
      <c r="H128" s="26" t="e">
        <f>H127/H125</f>
        <v>#DIV/0!</v>
      </c>
    </row>
  </sheetData>
  <mergeCells count="137">
    <mergeCell ref="A108:B108"/>
    <mergeCell ref="A110:B110"/>
    <mergeCell ref="A111:B111"/>
    <mergeCell ref="A7:B7"/>
    <mergeCell ref="E7:F7"/>
    <mergeCell ref="A5:B6"/>
    <mergeCell ref="C5:D5"/>
    <mergeCell ref="E3:H3"/>
    <mergeCell ref="E6:F6"/>
    <mergeCell ref="E5:H5"/>
    <mergeCell ref="A106:B106"/>
    <mergeCell ref="A107:B107"/>
    <mergeCell ref="A11:B11"/>
    <mergeCell ref="E11:F11"/>
    <mergeCell ref="A16:B16"/>
    <mergeCell ref="E16:F16"/>
    <mergeCell ref="A17:B17"/>
    <mergeCell ref="E17:F17"/>
    <mergeCell ref="A8:B8"/>
    <mergeCell ref="E8:F8"/>
    <mergeCell ref="A9:B9"/>
    <mergeCell ref="E9:F9"/>
    <mergeCell ref="A10:B10"/>
    <mergeCell ref="E10:F10"/>
    <mergeCell ref="A34:B34"/>
    <mergeCell ref="E34:F34"/>
    <mergeCell ref="A33:B33"/>
    <mergeCell ref="E29:F29"/>
    <mergeCell ref="E19:F19"/>
    <mergeCell ref="A20:B20"/>
    <mergeCell ref="E20:F20"/>
    <mergeCell ref="A21:B21"/>
    <mergeCell ref="E21:F21"/>
    <mergeCell ref="A18:B18"/>
    <mergeCell ref="A24:B24"/>
    <mergeCell ref="A25:B25"/>
    <mergeCell ref="A30:B30"/>
    <mergeCell ref="A31:B31"/>
    <mergeCell ref="A22:B22"/>
    <mergeCell ref="A19:B19"/>
    <mergeCell ref="E22:F22"/>
    <mergeCell ref="A23:B23"/>
    <mergeCell ref="E23:F23"/>
    <mergeCell ref="A53:B53"/>
    <mergeCell ref="E53:F53"/>
    <mergeCell ref="A54:B54"/>
    <mergeCell ref="E54:F54"/>
    <mergeCell ref="A55:B55"/>
    <mergeCell ref="E55:F55"/>
    <mergeCell ref="E49:H49"/>
    <mergeCell ref="A51:B52"/>
    <mergeCell ref="C51:D51"/>
    <mergeCell ref="A64:B64"/>
    <mergeCell ref="A65:B65"/>
    <mergeCell ref="E65:F65"/>
    <mergeCell ref="A56:B56"/>
    <mergeCell ref="E56:F56"/>
    <mergeCell ref="A57:B57"/>
    <mergeCell ref="E57:F57"/>
    <mergeCell ref="A62:B62"/>
    <mergeCell ref="E62:F62"/>
    <mergeCell ref="A58:B58"/>
    <mergeCell ref="A59:B59"/>
    <mergeCell ref="A60:B60"/>
    <mergeCell ref="A61:B61"/>
    <mergeCell ref="A113:B113"/>
    <mergeCell ref="A114:B114"/>
    <mergeCell ref="A97:B97"/>
    <mergeCell ref="A98:B98"/>
    <mergeCell ref="A99:B99"/>
    <mergeCell ref="A100:B100"/>
    <mergeCell ref="A101:B101"/>
    <mergeCell ref="A43:H46"/>
    <mergeCell ref="A86:H89"/>
    <mergeCell ref="A76:B76"/>
    <mergeCell ref="A77:B77"/>
    <mergeCell ref="A79:B79"/>
    <mergeCell ref="A80:B80"/>
    <mergeCell ref="E80:F80"/>
    <mergeCell ref="A69:B69"/>
    <mergeCell ref="E69:F69"/>
    <mergeCell ref="A70:B70"/>
    <mergeCell ref="A71:B71"/>
    <mergeCell ref="E75:F75"/>
    <mergeCell ref="A66:B66"/>
    <mergeCell ref="E66:F66"/>
    <mergeCell ref="A67:B67"/>
    <mergeCell ref="E67:F67"/>
    <mergeCell ref="A68:B68"/>
    <mergeCell ref="A122:B122"/>
    <mergeCell ref="A123:B123"/>
    <mergeCell ref="E96:F96"/>
    <mergeCell ref="E97:F97"/>
    <mergeCell ref="E98:F98"/>
    <mergeCell ref="E99:F99"/>
    <mergeCell ref="E100:F100"/>
    <mergeCell ref="E105:F105"/>
    <mergeCell ref="E106:F106"/>
    <mergeCell ref="E108:F108"/>
    <mergeCell ref="E109:F109"/>
    <mergeCell ref="E110:F110"/>
    <mergeCell ref="E111:F111"/>
    <mergeCell ref="E112:F112"/>
    <mergeCell ref="E118:F118"/>
    <mergeCell ref="E123:F123"/>
    <mergeCell ref="A115:B115"/>
    <mergeCell ref="A116:B116"/>
    <mergeCell ref="A117:B117"/>
    <mergeCell ref="A119:B119"/>
    <mergeCell ref="A120:B120"/>
    <mergeCell ref="A102:B102"/>
    <mergeCell ref="A103:B103"/>
    <mergeCell ref="A104:B104"/>
    <mergeCell ref="A1:C1"/>
    <mergeCell ref="D1:H1"/>
    <mergeCell ref="A47:C47"/>
    <mergeCell ref="D47:H47"/>
    <mergeCell ref="A90:C90"/>
    <mergeCell ref="D90:H90"/>
    <mergeCell ref="A94:B95"/>
    <mergeCell ref="C94:D94"/>
    <mergeCell ref="E52:F52"/>
    <mergeCell ref="E51:H51"/>
    <mergeCell ref="E94:H94"/>
    <mergeCell ref="A12:B12"/>
    <mergeCell ref="A13:B13"/>
    <mergeCell ref="A14:B14"/>
    <mergeCell ref="A15:B15"/>
    <mergeCell ref="A26:B26"/>
    <mergeCell ref="A27:B27"/>
    <mergeCell ref="A28:B28"/>
    <mergeCell ref="E68:F68"/>
    <mergeCell ref="A72:B72"/>
    <mergeCell ref="A73:B73"/>
    <mergeCell ref="A74:B74"/>
    <mergeCell ref="A63:B63"/>
    <mergeCell ref="E63:F63"/>
  </mergeCells>
  <hyperlinks>
    <hyperlink ref="E3" r:id="rId1" xr:uid="{00000000-0004-0000-0000-000000000000}"/>
    <hyperlink ref="E49" r:id="rId2" xr:uid="{D7BECF25-82BF-44F1-9295-02B4453F738D}"/>
    <hyperlink ref="E92" r:id="rId3" xr:uid="{DB8D2171-D406-4D00-87CA-E213987934C0}"/>
    <hyperlink ref="D1" r:id="rId4" xr:uid="{0601CA6C-2200-4160-BDD5-2D04DB5CE978}"/>
    <hyperlink ref="D47" r:id="rId5" xr:uid="{321AE905-0BFB-4BD9-93DC-D11768E58A14}"/>
    <hyperlink ref="D90" r:id="rId6" xr:uid="{AC3B8028-B587-4319-AD0F-251F2F7E3733}"/>
  </hyperlinks>
  <pageMargins left="0.7" right="0.7" top="0.75" bottom="0.75" header="0.3" footer="0.3"/>
  <pageSetup orientation="portrait" r:id="rId7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000-000001000000}">
          <x14:formula1>
            <xm:f>'Meat - 50021'!$C$2:$C$96</xm:f>
          </x14:formula1>
          <xm:sqref>A18:B19</xm:sqref>
        </x14:dataValidation>
        <x14:dataValidation type="list" allowBlank="1" showInputMessage="1" showErrorMessage="1" xr:uid="{21DB3716-D425-42F5-B66C-CFDE2DC3F149}">
          <x14:formula1>
            <xm:f>'Bakery - 50041'!$C$2:$C$400</xm:f>
          </x14:formula1>
          <xm:sqref>A30:B31 A76:B77 A119:B120</xm:sqref>
        </x14:dataValidation>
        <x14:dataValidation type="list" allowBlank="1" showInputMessage="1" showErrorMessage="1" errorTitle="Item" xr:uid="{8F15C0AA-C609-4F9C-AA84-C3DC7DC91870}">
          <x14:formula1>
            <xm:f>'Storeroom - 50011'!$C$2:$C$309</xm:f>
          </x14:formula1>
          <xm:sqref>A8:B15</xm:sqref>
        </x14:dataValidation>
        <x14:dataValidation type="list" allowBlank="1" showInputMessage="1" showErrorMessage="1" xr:uid="{8CE5D732-7667-4DB8-930D-9E6B0030902F}">
          <x14:formula1>
            <xm:f>'Meat - 50021'!$C$2:$C$110</xm:f>
          </x14:formula1>
          <xm:sqref>A17:B17</xm:sqref>
        </x14:dataValidation>
        <x14:dataValidation type="list" allowBlank="1" showInputMessage="1" showErrorMessage="1" xr:uid="{0F7C9BA7-DDDA-4C4A-92A3-DC45DDB0FAFF}">
          <x14:formula1>
            <xm:f>'Dairy - 50031'!$C$2:$C$100</xm:f>
          </x14:formula1>
          <xm:sqref>A21:B22</xm:sqref>
        </x14:dataValidation>
        <x14:dataValidation type="list" allowBlank="1" showInputMessage="1" showErrorMessage="1" xr:uid="{45C05EDE-D16E-42BF-BC83-617C1BAE5561}">
          <x14:formula1>
            <xm:f>'Produce - 50051'!$C$2:$C$400</xm:f>
          </x14:formula1>
          <xm:sqref>A24:B28 A70:B74 A113:B117</xm:sqref>
        </x14:dataValidation>
        <x14:dataValidation type="list" allowBlank="1" showInputMessage="1" showErrorMessage="1" xr:uid="{4F27E9A9-45AE-442C-9584-9BF7E4593C29}">
          <x14:formula1>
            <xm:f>'Frozen - 50061'!$C$2:$C$400</xm:f>
          </x14:formula1>
          <xm:sqref>A33:B34 A79:B80 A122:B123</xm:sqref>
        </x14:dataValidation>
        <x14:dataValidation type="list" allowBlank="1" showInputMessage="1" showErrorMessage="1" errorTitle="Item" xr:uid="{56580C44-717F-44B5-8435-0DAB714121CE}">
          <x14:formula1>
            <xm:f>'Storeroom - 50011'!$C$2:$C$400</xm:f>
          </x14:formula1>
          <xm:sqref>A54:B61 A97:B104</xm:sqref>
        </x14:dataValidation>
        <x14:dataValidation type="list" allowBlank="1" showInputMessage="1" showErrorMessage="1" xr:uid="{5764B817-7278-4FC8-AB2B-7D35A9520B1E}">
          <x14:formula1>
            <xm:f>'Meat - 50021'!$C$2:$C$400</xm:f>
          </x14:formula1>
          <xm:sqref>A63:B65 A106:B108</xm:sqref>
        </x14:dataValidation>
        <x14:dataValidation type="list" allowBlank="1" showInputMessage="1" showErrorMessage="1" xr:uid="{B10A3FA6-BA26-426F-9DB8-DC069746D90F}">
          <x14:formula1>
            <xm:f>'Dairy - 50031'!$C$2:$C$400</xm:f>
          </x14:formula1>
          <xm:sqref>A67:B68 A110:B111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1:J40"/>
  <sheetViews>
    <sheetView workbookViewId="0">
      <selection activeCell="J2" sqref="J2"/>
    </sheetView>
  </sheetViews>
  <sheetFormatPr defaultRowHeight="14.5" x14ac:dyDescent="0.35"/>
  <cols>
    <col min="2" max="2" width="12" customWidth="1"/>
    <col min="3" max="3" width="68.26953125" customWidth="1"/>
    <col min="4" max="4" width="30.54296875" customWidth="1"/>
    <col min="10" max="10" width="8.7265625" style="44"/>
  </cols>
  <sheetData>
    <row r="1" spans="2:10" ht="15" thickBot="1" x14ac:dyDescent="0.4">
      <c r="B1" s="1" t="s">
        <v>100</v>
      </c>
      <c r="C1" s="1" t="s">
        <v>101</v>
      </c>
      <c r="D1" s="1" t="s">
        <v>102</v>
      </c>
      <c r="E1" s="1" t="s">
        <v>103</v>
      </c>
      <c r="F1" s="52" t="s">
        <v>104</v>
      </c>
      <c r="G1" s="1" t="s">
        <v>105</v>
      </c>
      <c r="H1" s="1" t="s">
        <v>106</v>
      </c>
      <c r="I1" s="1" t="s">
        <v>105</v>
      </c>
      <c r="J1" s="52" t="s">
        <v>107</v>
      </c>
    </row>
    <row r="2" spans="2:10" x14ac:dyDescent="0.35">
      <c r="B2" s="57" t="s">
        <v>108</v>
      </c>
      <c r="C2" s="58" t="s">
        <v>109</v>
      </c>
      <c r="D2" s="58" t="s">
        <v>110</v>
      </c>
      <c r="E2" s="58" t="s">
        <v>111</v>
      </c>
      <c r="F2" s="73">
        <v>26.4</v>
      </c>
      <c r="G2" s="58" t="s">
        <v>112</v>
      </c>
      <c r="H2" s="58">
        <v>144</v>
      </c>
      <c r="I2" s="58" t="s">
        <v>2</v>
      </c>
      <c r="J2" s="76">
        <v>0.18</v>
      </c>
    </row>
    <row r="3" spans="2:10" x14ac:dyDescent="0.35">
      <c r="B3" s="59" t="s">
        <v>108</v>
      </c>
      <c r="C3" s="56" t="s">
        <v>113</v>
      </c>
      <c r="D3" s="56" t="s">
        <v>114</v>
      </c>
      <c r="E3" s="56" t="s">
        <v>115</v>
      </c>
      <c r="F3" s="74">
        <v>21.12</v>
      </c>
      <c r="G3" s="56" t="s">
        <v>112</v>
      </c>
      <c r="H3" s="56">
        <v>864</v>
      </c>
      <c r="I3" s="56" t="s">
        <v>2</v>
      </c>
      <c r="J3" s="77">
        <v>0.02</v>
      </c>
    </row>
    <row r="4" spans="2:10" x14ac:dyDescent="0.35">
      <c r="B4" s="59" t="s">
        <v>108</v>
      </c>
      <c r="C4" s="56" t="s">
        <v>116</v>
      </c>
      <c r="D4" s="56" t="s">
        <v>114</v>
      </c>
      <c r="E4" s="56" t="s">
        <v>117</v>
      </c>
      <c r="F4" s="74" t="s">
        <v>118</v>
      </c>
      <c r="G4" s="56" t="s">
        <v>112</v>
      </c>
      <c r="H4" s="56">
        <v>240</v>
      </c>
      <c r="I4" s="56" t="s">
        <v>119</v>
      </c>
      <c r="J4" s="102"/>
    </row>
    <row r="5" spans="2:10" x14ac:dyDescent="0.35">
      <c r="B5" s="59" t="s">
        <v>108</v>
      </c>
      <c r="C5" s="56" t="s">
        <v>120</v>
      </c>
      <c r="D5" s="56" t="s">
        <v>121</v>
      </c>
      <c r="E5" s="56" t="s">
        <v>122</v>
      </c>
      <c r="F5" s="74">
        <v>31.36</v>
      </c>
      <c r="G5" s="56" t="s">
        <v>112</v>
      </c>
      <c r="H5" s="56">
        <v>30</v>
      </c>
      <c r="I5" s="56" t="s">
        <v>2</v>
      </c>
      <c r="J5" s="77">
        <v>7.0000000000000007E-2</v>
      </c>
    </row>
    <row r="6" spans="2:10" x14ac:dyDescent="0.35">
      <c r="B6" s="59" t="s">
        <v>108</v>
      </c>
      <c r="C6" s="56" t="s">
        <v>123</v>
      </c>
      <c r="D6" s="56" t="s">
        <v>121</v>
      </c>
      <c r="E6" s="56" t="s">
        <v>124</v>
      </c>
      <c r="F6" s="74">
        <v>16.61</v>
      </c>
      <c r="G6" s="56" t="s">
        <v>112</v>
      </c>
      <c r="H6" s="56">
        <v>360</v>
      </c>
      <c r="I6" s="56" t="s">
        <v>2</v>
      </c>
      <c r="J6" s="77">
        <v>0.05</v>
      </c>
    </row>
    <row r="7" spans="2:10" x14ac:dyDescent="0.35">
      <c r="B7" s="59" t="s">
        <v>108</v>
      </c>
      <c r="C7" s="56" t="s">
        <v>125</v>
      </c>
      <c r="D7" s="56" t="s">
        <v>126</v>
      </c>
      <c r="E7" s="56" t="s">
        <v>127</v>
      </c>
      <c r="F7" s="74">
        <v>23.8</v>
      </c>
      <c r="G7" s="56" t="s">
        <v>112</v>
      </c>
      <c r="H7" s="56">
        <v>720</v>
      </c>
      <c r="I7" s="56" t="s">
        <v>2</v>
      </c>
      <c r="J7" s="77">
        <v>0.03</v>
      </c>
    </row>
    <row r="8" spans="2:10" x14ac:dyDescent="0.35">
      <c r="B8" s="59" t="s">
        <v>108</v>
      </c>
      <c r="C8" s="56" t="s">
        <v>128</v>
      </c>
      <c r="D8" s="56" t="s">
        <v>121</v>
      </c>
      <c r="E8" s="56" t="s">
        <v>129</v>
      </c>
      <c r="F8" s="74">
        <v>20.59</v>
      </c>
      <c r="G8" s="56" t="s">
        <v>112</v>
      </c>
      <c r="H8" s="56">
        <v>144</v>
      </c>
      <c r="I8" s="56" t="s">
        <v>2</v>
      </c>
      <c r="J8" s="77">
        <v>0.14000000000000001</v>
      </c>
    </row>
    <row r="9" spans="2:10" x14ac:dyDescent="0.35">
      <c r="B9" s="59" t="s">
        <v>108</v>
      </c>
      <c r="C9" s="56" t="s">
        <v>130</v>
      </c>
      <c r="D9" s="56" t="s">
        <v>131</v>
      </c>
      <c r="E9" s="56" t="s">
        <v>132</v>
      </c>
      <c r="F9" s="74">
        <v>15.18</v>
      </c>
      <c r="G9" s="56" t="s">
        <v>112</v>
      </c>
      <c r="H9" s="56">
        <v>96</v>
      </c>
      <c r="I9" s="56" t="s">
        <v>2</v>
      </c>
      <c r="J9" s="77">
        <v>0.16</v>
      </c>
    </row>
    <row r="10" spans="2:10" x14ac:dyDescent="0.35">
      <c r="B10" s="59" t="s">
        <v>108</v>
      </c>
      <c r="C10" s="56" t="s">
        <v>133</v>
      </c>
      <c r="D10" s="56" t="s">
        <v>126</v>
      </c>
      <c r="E10" s="56" t="s">
        <v>134</v>
      </c>
      <c r="F10" s="74">
        <v>25.51</v>
      </c>
      <c r="G10" s="56" t="s">
        <v>112</v>
      </c>
      <c r="H10" s="56">
        <v>288</v>
      </c>
      <c r="I10" s="56" t="s">
        <v>2</v>
      </c>
      <c r="J10" s="77">
        <v>0.09</v>
      </c>
    </row>
    <row r="11" spans="2:10" x14ac:dyDescent="0.35">
      <c r="B11" s="59" t="s">
        <v>108</v>
      </c>
      <c r="C11" s="56" t="s">
        <v>135</v>
      </c>
      <c r="D11" s="56" t="s">
        <v>121</v>
      </c>
      <c r="E11" s="56" t="s">
        <v>136</v>
      </c>
      <c r="F11" s="74">
        <v>17.100000000000001</v>
      </c>
      <c r="G11" s="56" t="s">
        <v>112</v>
      </c>
      <c r="H11" s="56">
        <v>72</v>
      </c>
      <c r="I11" s="56" t="s">
        <v>2</v>
      </c>
      <c r="J11" s="77">
        <v>0.24</v>
      </c>
    </row>
    <row r="12" spans="2:10" x14ac:dyDescent="0.35">
      <c r="B12" s="59" t="s">
        <v>108</v>
      </c>
      <c r="C12" s="56" t="s">
        <v>137</v>
      </c>
      <c r="D12" s="56" t="s">
        <v>138</v>
      </c>
      <c r="E12" s="56" t="s">
        <v>136</v>
      </c>
      <c r="F12" s="74">
        <v>24.95</v>
      </c>
      <c r="G12" s="56" t="s">
        <v>112</v>
      </c>
      <c r="H12" s="56">
        <v>72</v>
      </c>
      <c r="I12" s="56" t="s">
        <v>2</v>
      </c>
      <c r="J12" s="77">
        <v>0.35</v>
      </c>
    </row>
    <row r="13" spans="2:10" x14ac:dyDescent="0.35">
      <c r="B13" s="59" t="s">
        <v>108</v>
      </c>
      <c r="C13" s="56" t="s">
        <v>139</v>
      </c>
      <c r="D13" s="56" t="s">
        <v>140</v>
      </c>
      <c r="E13" s="56" t="s">
        <v>136</v>
      </c>
      <c r="F13" s="74" t="s">
        <v>141</v>
      </c>
      <c r="G13" s="56" t="s">
        <v>112</v>
      </c>
      <c r="H13" s="56">
        <v>72</v>
      </c>
      <c r="I13" s="56" t="s">
        <v>2</v>
      </c>
      <c r="J13" s="102"/>
    </row>
    <row r="14" spans="2:10" ht="15" thickBot="1" x14ac:dyDescent="0.4">
      <c r="B14" s="62" t="s">
        <v>108</v>
      </c>
      <c r="C14" s="63" t="s">
        <v>142</v>
      </c>
      <c r="D14" s="63" t="s">
        <v>138</v>
      </c>
      <c r="E14" s="63" t="s">
        <v>136</v>
      </c>
      <c r="F14" s="78">
        <v>23.15</v>
      </c>
      <c r="G14" s="63" t="s">
        <v>112</v>
      </c>
      <c r="H14" s="63">
        <v>72</v>
      </c>
      <c r="I14" s="63" t="s">
        <v>2</v>
      </c>
      <c r="J14" s="101">
        <v>0.32</v>
      </c>
    </row>
    <row r="15" spans="2:10" ht="15" thickBot="1" x14ac:dyDescent="0.4">
      <c r="B15" s="47" t="s">
        <v>143</v>
      </c>
      <c r="C15" s="48" t="s">
        <v>63</v>
      </c>
      <c r="D15" s="48" t="s">
        <v>144</v>
      </c>
      <c r="E15" s="58">
        <v>6</v>
      </c>
      <c r="F15" s="73">
        <v>3.02</v>
      </c>
      <c r="G15" s="58" t="s">
        <v>145</v>
      </c>
      <c r="H15" s="58">
        <v>6</v>
      </c>
      <c r="I15" s="48" t="s">
        <v>2</v>
      </c>
      <c r="J15" s="76">
        <f>F15/H15</f>
        <v>0.5033333333333333</v>
      </c>
    </row>
    <row r="16" spans="2:10" ht="15" thickBot="1" x14ac:dyDescent="0.4">
      <c r="B16" s="49" t="s">
        <v>143</v>
      </c>
      <c r="C16" s="46" t="s">
        <v>146</v>
      </c>
      <c r="D16" s="56" t="s">
        <v>147</v>
      </c>
      <c r="E16" s="56">
        <v>6</v>
      </c>
      <c r="F16" s="74">
        <v>2.09</v>
      </c>
      <c r="G16" s="56" t="s">
        <v>145</v>
      </c>
      <c r="H16" s="56">
        <v>6</v>
      </c>
      <c r="I16" s="46" t="s">
        <v>2</v>
      </c>
      <c r="J16" s="76">
        <f t="shared" ref="J16:J40" si="0">F16/H16</f>
        <v>0.34833333333333333</v>
      </c>
    </row>
    <row r="17" spans="2:10" ht="15" thickBot="1" x14ac:dyDescent="0.4">
      <c r="B17" s="49" t="s">
        <v>143</v>
      </c>
      <c r="C17" s="46" t="s">
        <v>148</v>
      </c>
      <c r="D17" s="56" t="s">
        <v>147</v>
      </c>
      <c r="E17" s="56">
        <v>6</v>
      </c>
      <c r="F17" s="74">
        <v>2.09</v>
      </c>
      <c r="G17" s="56" t="s">
        <v>145</v>
      </c>
      <c r="H17" s="56">
        <v>6</v>
      </c>
      <c r="I17" s="46" t="s">
        <v>2</v>
      </c>
      <c r="J17" s="76">
        <f t="shared" si="0"/>
        <v>0.34833333333333333</v>
      </c>
    </row>
    <row r="18" spans="2:10" ht="15" thickBot="1" x14ac:dyDescent="0.4">
      <c r="B18" s="49" t="s">
        <v>143</v>
      </c>
      <c r="C18" s="46" t="s">
        <v>149</v>
      </c>
      <c r="D18" s="56" t="s">
        <v>147</v>
      </c>
      <c r="E18" s="56">
        <v>6</v>
      </c>
      <c r="F18" s="74">
        <v>2.09</v>
      </c>
      <c r="G18" s="56" t="s">
        <v>145</v>
      </c>
      <c r="H18" s="56">
        <v>6</v>
      </c>
      <c r="I18" s="46" t="s">
        <v>2</v>
      </c>
      <c r="J18" s="76">
        <f t="shared" si="0"/>
        <v>0.34833333333333333</v>
      </c>
    </row>
    <row r="19" spans="2:10" ht="15" thickBot="1" x14ac:dyDescent="0.4">
      <c r="B19" s="49" t="s">
        <v>143</v>
      </c>
      <c r="C19" s="46" t="s">
        <v>150</v>
      </c>
      <c r="D19" s="56" t="s">
        <v>147</v>
      </c>
      <c r="E19" s="56">
        <v>6</v>
      </c>
      <c r="F19" s="74">
        <v>2.09</v>
      </c>
      <c r="G19" s="56" t="s">
        <v>145</v>
      </c>
      <c r="H19" s="56">
        <v>6</v>
      </c>
      <c r="I19" s="46" t="s">
        <v>2</v>
      </c>
      <c r="J19" s="76">
        <f t="shared" si="0"/>
        <v>0.34833333333333333</v>
      </c>
    </row>
    <row r="20" spans="2:10" ht="15" thickBot="1" x14ac:dyDescent="0.4">
      <c r="B20" s="49" t="s">
        <v>143</v>
      </c>
      <c r="C20" s="46" t="s">
        <v>151</v>
      </c>
      <c r="D20" s="56" t="s">
        <v>144</v>
      </c>
      <c r="E20" s="56">
        <v>8</v>
      </c>
      <c r="F20" s="74">
        <v>4.1399999999999997</v>
      </c>
      <c r="G20" s="56" t="s">
        <v>145</v>
      </c>
      <c r="H20" s="56">
        <v>8</v>
      </c>
      <c r="I20" s="46" t="s">
        <v>2</v>
      </c>
      <c r="J20" s="76">
        <f t="shared" si="0"/>
        <v>0.51749999999999996</v>
      </c>
    </row>
    <row r="21" spans="2:10" ht="15" thickBot="1" x14ac:dyDescent="0.4">
      <c r="B21" s="49" t="s">
        <v>143</v>
      </c>
      <c r="C21" s="46" t="s">
        <v>152</v>
      </c>
      <c r="D21" s="56" t="s">
        <v>153</v>
      </c>
      <c r="E21" s="56">
        <v>17</v>
      </c>
      <c r="F21" s="74">
        <v>2.74</v>
      </c>
      <c r="G21" s="56" t="s">
        <v>145</v>
      </c>
      <c r="H21" s="56">
        <v>17</v>
      </c>
      <c r="I21" s="46" t="s">
        <v>2</v>
      </c>
      <c r="J21" s="76">
        <f t="shared" si="0"/>
        <v>0.16117647058823531</v>
      </c>
    </row>
    <row r="22" spans="2:10" ht="15" thickBot="1" x14ac:dyDescent="0.4">
      <c r="B22" s="49" t="s">
        <v>143</v>
      </c>
      <c r="C22" s="46" t="s">
        <v>72</v>
      </c>
      <c r="D22" s="56" t="s">
        <v>144</v>
      </c>
      <c r="E22" s="56">
        <v>12</v>
      </c>
      <c r="F22" s="74">
        <v>4.6500000000000004</v>
      </c>
      <c r="G22" s="56" t="s">
        <v>145</v>
      </c>
      <c r="H22" s="56">
        <v>12</v>
      </c>
      <c r="I22" s="46" t="s">
        <v>2</v>
      </c>
      <c r="J22" s="76">
        <f t="shared" si="0"/>
        <v>0.38750000000000001</v>
      </c>
    </row>
    <row r="23" spans="2:10" ht="15" thickBot="1" x14ac:dyDescent="0.4">
      <c r="B23" s="49" t="s">
        <v>143</v>
      </c>
      <c r="C23" s="46" t="s">
        <v>154</v>
      </c>
      <c r="D23" s="56" t="s">
        <v>153</v>
      </c>
      <c r="E23" s="56">
        <v>10</v>
      </c>
      <c r="F23" s="74">
        <v>2.12</v>
      </c>
      <c r="G23" s="56" t="s">
        <v>145</v>
      </c>
      <c r="H23" s="56">
        <v>10</v>
      </c>
      <c r="I23" s="46" t="s">
        <v>2</v>
      </c>
      <c r="J23" s="76">
        <f t="shared" si="0"/>
        <v>0.21200000000000002</v>
      </c>
    </row>
    <row r="24" spans="2:10" ht="15" thickBot="1" x14ac:dyDescent="0.4">
      <c r="B24" s="49" t="s">
        <v>143</v>
      </c>
      <c r="C24" s="46" t="s">
        <v>155</v>
      </c>
      <c r="D24" s="56" t="s">
        <v>153</v>
      </c>
      <c r="E24" s="56">
        <v>17</v>
      </c>
      <c r="F24" s="74">
        <v>2.74</v>
      </c>
      <c r="G24" s="56" t="s">
        <v>145</v>
      </c>
      <c r="H24" s="56">
        <v>17</v>
      </c>
      <c r="I24" s="46" t="s">
        <v>2</v>
      </c>
      <c r="J24" s="76">
        <f t="shared" si="0"/>
        <v>0.16117647058823531</v>
      </c>
    </row>
    <row r="25" spans="2:10" ht="15" thickBot="1" x14ac:dyDescent="0.4">
      <c r="B25" s="49" t="s">
        <v>143</v>
      </c>
      <c r="C25" s="46" t="s">
        <v>156</v>
      </c>
      <c r="D25" s="56" t="s">
        <v>144</v>
      </c>
      <c r="E25" s="56">
        <v>6</v>
      </c>
      <c r="F25" s="74">
        <v>2.86</v>
      </c>
      <c r="G25" s="56" t="s">
        <v>145</v>
      </c>
      <c r="H25" s="56">
        <v>6</v>
      </c>
      <c r="I25" s="46" t="s">
        <v>2</v>
      </c>
      <c r="J25" s="76">
        <f t="shared" si="0"/>
        <v>0.47666666666666663</v>
      </c>
    </row>
    <row r="26" spans="2:10" ht="15" thickBot="1" x14ac:dyDescent="0.4">
      <c r="B26" s="49" t="s">
        <v>143</v>
      </c>
      <c r="C26" s="46" t="s">
        <v>157</v>
      </c>
      <c r="D26" s="56" t="s">
        <v>153</v>
      </c>
      <c r="E26" s="56">
        <v>18</v>
      </c>
      <c r="F26" s="74">
        <v>5.39</v>
      </c>
      <c r="G26" s="56" t="s">
        <v>145</v>
      </c>
      <c r="H26" s="56">
        <v>18</v>
      </c>
      <c r="I26" s="46" t="s">
        <v>2</v>
      </c>
      <c r="J26" s="76">
        <f t="shared" si="0"/>
        <v>0.2994444444444444</v>
      </c>
    </row>
    <row r="27" spans="2:10" ht="15" thickBot="1" x14ac:dyDescent="0.4">
      <c r="B27" s="49" t="s">
        <v>143</v>
      </c>
      <c r="C27" s="46" t="s">
        <v>158</v>
      </c>
      <c r="D27" s="56" t="s">
        <v>153</v>
      </c>
      <c r="E27" s="56">
        <v>12</v>
      </c>
      <c r="F27" s="74">
        <v>2.09</v>
      </c>
      <c r="G27" s="56" t="s">
        <v>145</v>
      </c>
      <c r="H27" s="56">
        <v>12</v>
      </c>
      <c r="I27" s="46" t="s">
        <v>2</v>
      </c>
      <c r="J27" s="76">
        <f t="shared" si="0"/>
        <v>0.17416666666666666</v>
      </c>
    </row>
    <row r="28" spans="2:10" ht="15" thickBot="1" x14ac:dyDescent="0.4">
      <c r="B28" s="49" t="s">
        <v>143</v>
      </c>
      <c r="C28" s="46" t="s">
        <v>159</v>
      </c>
      <c r="D28" s="56" t="s">
        <v>144</v>
      </c>
      <c r="E28" s="56">
        <v>12</v>
      </c>
      <c r="F28" s="74">
        <v>2.66</v>
      </c>
      <c r="G28" s="56" t="s">
        <v>145</v>
      </c>
      <c r="H28" s="56">
        <v>12</v>
      </c>
      <c r="I28" s="46" t="s">
        <v>2</v>
      </c>
      <c r="J28" s="76">
        <f t="shared" si="0"/>
        <v>0.22166666666666668</v>
      </c>
    </row>
    <row r="29" spans="2:10" ht="15" thickBot="1" x14ac:dyDescent="0.4">
      <c r="B29" s="49" t="s">
        <v>143</v>
      </c>
      <c r="C29" s="46" t="s">
        <v>160</v>
      </c>
      <c r="D29" s="56" t="s">
        <v>144</v>
      </c>
      <c r="E29" s="56">
        <v>12</v>
      </c>
      <c r="F29" s="74">
        <v>12.76</v>
      </c>
      <c r="G29" s="56" t="s">
        <v>145</v>
      </c>
      <c r="H29" s="56">
        <v>12</v>
      </c>
      <c r="I29" s="46" t="s">
        <v>2</v>
      </c>
      <c r="J29" s="76">
        <f t="shared" si="0"/>
        <v>1.0633333333333332</v>
      </c>
    </row>
    <row r="30" spans="2:10" ht="15" thickBot="1" x14ac:dyDescent="0.4">
      <c r="B30" s="49" t="s">
        <v>143</v>
      </c>
      <c r="C30" s="46" t="s">
        <v>161</v>
      </c>
      <c r="D30" s="56" t="s">
        <v>162</v>
      </c>
      <c r="E30" s="56">
        <v>6</v>
      </c>
      <c r="F30" s="74">
        <v>4.42</v>
      </c>
      <c r="G30" s="56" t="s">
        <v>145</v>
      </c>
      <c r="H30" s="56">
        <v>6</v>
      </c>
      <c r="I30" s="46" t="s">
        <v>2</v>
      </c>
      <c r="J30" s="76">
        <f t="shared" si="0"/>
        <v>0.73666666666666669</v>
      </c>
    </row>
    <row r="31" spans="2:10" ht="15" thickBot="1" x14ac:dyDescent="0.4">
      <c r="B31" s="49" t="s">
        <v>143</v>
      </c>
      <c r="C31" s="46" t="s">
        <v>163</v>
      </c>
      <c r="D31" s="56" t="s">
        <v>153</v>
      </c>
      <c r="E31" s="56">
        <v>17</v>
      </c>
      <c r="F31" s="74">
        <v>3.59</v>
      </c>
      <c r="G31" s="56" t="s">
        <v>145</v>
      </c>
      <c r="H31" s="56">
        <v>17</v>
      </c>
      <c r="I31" s="46" t="s">
        <v>2</v>
      </c>
      <c r="J31" s="76">
        <f t="shared" si="0"/>
        <v>0.2111764705882353</v>
      </c>
    </row>
    <row r="32" spans="2:10" ht="15" thickBot="1" x14ac:dyDescent="0.4">
      <c r="B32" s="49" t="s">
        <v>143</v>
      </c>
      <c r="C32" s="46" t="s">
        <v>164</v>
      </c>
      <c r="D32" s="56" t="s">
        <v>144</v>
      </c>
      <c r="E32" s="56">
        <v>18</v>
      </c>
      <c r="F32" s="74">
        <v>2.74</v>
      </c>
      <c r="G32" s="56" t="s">
        <v>145</v>
      </c>
      <c r="H32" s="56">
        <v>18</v>
      </c>
      <c r="I32" s="46" t="s">
        <v>2</v>
      </c>
      <c r="J32" s="76">
        <f t="shared" si="0"/>
        <v>0.15222222222222223</v>
      </c>
    </row>
    <row r="33" spans="2:10" ht="15" thickBot="1" x14ac:dyDescent="0.4">
      <c r="B33" s="49" t="s">
        <v>143</v>
      </c>
      <c r="C33" s="46" t="s">
        <v>165</v>
      </c>
      <c r="D33" s="56" t="s">
        <v>147</v>
      </c>
      <c r="E33" s="56">
        <v>12</v>
      </c>
      <c r="F33" s="74">
        <v>3.07</v>
      </c>
      <c r="G33" s="56" t="s">
        <v>145</v>
      </c>
      <c r="H33" s="56">
        <v>12</v>
      </c>
      <c r="I33" s="46" t="s">
        <v>2</v>
      </c>
      <c r="J33" s="76">
        <f t="shared" si="0"/>
        <v>0.2558333333333333</v>
      </c>
    </row>
    <row r="34" spans="2:10" ht="15" thickBot="1" x14ac:dyDescent="0.4">
      <c r="B34" s="49" t="s">
        <v>143</v>
      </c>
      <c r="C34" s="46" t="s">
        <v>166</v>
      </c>
      <c r="D34" s="56" t="s">
        <v>147</v>
      </c>
      <c r="E34" s="56">
        <v>12</v>
      </c>
      <c r="F34" s="74">
        <v>3.07</v>
      </c>
      <c r="G34" s="56" t="s">
        <v>145</v>
      </c>
      <c r="H34" s="56">
        <v>12</v>
      </c>
      <c r="I34" s="46" t="s">
        <v>2</v>
      </c>
      <c r="J34" s="76">
        <f t="shared" si="0"/>
        <v>0.2558333333333333</v>
      </c>
    </row>
    <row r="35" spans="2:10" ht="15" thickBot="1" x14ac:dyDescent="0.4">
      <c r="B35" s="49" t="s">
        <v>143</v>
      </c>
      <c r="C35" s="46" t="s">
        <v>167</v>
      </c>
      <c r="D35" s="56"/>
      <c r="E35" s="56">
        <v>17</v>
      </c>
      <c r="F35" s="74">
        <v>2.86</v>
      </c>
      <c r="G35" s="56" t="s">
        <v>145</v>
      </c>
      <c r="H35" s="56">
        <v>17</v>
      </c>
      <c r="I35" s="46" t="s">
        <v>2</v>
      </c>
      <c r="J35" s="76">
        <f t="shared" si="0"/>
        <v>0.16823529411764704</v>
      </c>
    </row>
    <row r="36" spans="2:10" ht="15" thickBot="1" x14ac:dyDescent="0.4">
      <c r="B36" s="49" t="s">
        <v>143</v>
      </c>
      <c r="C36" s="46" t="s">
        <v>168</v>
      </c>
      <c r="D36" s="56" t="s">
        <v>153</v>
      </c>
      <c r="E36" s="56">
        <v>8</v>
      </c>
      <c r="F36" s="74">
        <v>5.75</v>
      </c>
      <c r="G36" s="56" t="s">
        <v>145</v>
      </c>
      <c r="H36" s="56">
        <v>8</v>
      </c>
      <c r="I36" s="46" t="s">
        <v>2</v>
      </c>
      <c r="J36" s="76">
        <f t="shared" si="0"/>
        <v>0.71875</v>
      </c>
    </row>
    <row r="37" spans="2:10" ht="15" thickBot="1" x14ac:dyDescent="0.4">
      <c r="B37" s="49" t="s">
        <v>143</v>
      </c>
      <c r="C37" s="46" t="s">
        <v>169</v>
      </c>
      <c r="D37" s="56" t="s">
        <v>144</v>
      </c>
      <c r="E37" s="56"/>
      <c r="F37" s="74">
        <v>2.98</v>
      </c>
      <c r="G37" s="56" t="s">
        <v>145</v>
      </c>
      <c r="H37" s="56"/>
      <c r="I37" s="46" t="s">
        <v>2</v>
      </c>
      <c r="J37" s="98" t="e">
        <f t="shared" si="0"/>
        <v>#DIV/0!</v>
      </c>
    </row>
    <row r="38" spans="2:10" ht="15" thickBot="1" x14ac:dyDescent="0.4">
      <c r="B38" s="49" t="s">
        <v>143</v>
      </c>
      <c r="C38" s="46" t="s">
        <v>170</v>
      </c>
      <c r="D38" s="56" t="s">
        <v>153</v>
      </c>
      <c r="E38" s="56">
        <v>17</v>
      </c>
      <c r="F38" s="74">
        <v>2.74</v>
      </c>
      <c r="G38" s="56" t="s">
        <v>145</v>
      </c>
      <c r="H38" s="56">
        <v>17</v>
      </c>
      <c r="I38" s="46" t="s">
        <v>2</v>
      </c>
      <c r="J38" s="76">
        <f t="shared" si="0"/>
        <v>0.16117647058823531</v>
      </c>
    </row>
    <row r="39" spans="2:10" ht="15" thickBot="1" x14ac:dyDescent="0.4">
      <c r="B39" s="49" t="s">
        <v>143</v>
      </c>
      <c r="C39" s="46" t="s">
        <v>93</v>
      </c>
      <c r="D39" s="56"/>
      <c r="E39" s="56">
        <v>6</v>
      </c>
      <c r="F39" s="74">
        <v>3.59</v>
      </c>
      <c r="G39" s="56" t="s">
        <v>145</v>
      </c>
      <c r="H39" s="56">
        <v>6</v>
      </c>
      <c r="I39" s="46" t="s">
        <v>2</v>
      </c>
      <c r="J39" s="76">
        <f t="shared" si="0"/>
        <v>0.59833333333333327</v>
      </c>
    </row>
    <row r="40" spans="2:10" ht="15" thickBot="1" x14ac:dyDescent="0.4">
      <c r="B40" s="50" t="s">
        <v>143</v>
      </c>
      <c r="C40" s="51" t="s">
        <v>171</v>
      </c>
      <c r="D40" s="61" t="s">
        <v>153</v>
      </c>
      <c r="E40" s="61">
        <v>18</v>
      </c>
      <c r="F40" s="75">
        <v>3.08</v>
      </c>
      <c r="G40" s="61" t="s">
        <v>145</v>
      </c>
      <c r="H40" s="61">
        <v>18</v>
      </c>
      <c r="I40" s="51" t="s">
        <v>2</v>
      </c>
      <c r="J40" s="76">
        <f t="shared" si="0"/>
        <v>0.1711111111111111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B1:J61"/>
  <sheetViews>
    <sheetView topLeftCell="C56" workbookViewId="0">
      <selection activeCell="J67" sqref="J67"/>
    </sheetView>
  </sheetViews>
  <sheetFormatPr defaultRowHeight="14.5" x14ac:dyDescent="0.35"/>
  <cols>
    <col min="3" max="3" width="85.81640625" customWidth="1"/>
    <col min="4" max="4" width="20.81640625" customWidth="1"/>
  </cols>
  <sheetData>
    <row r="1" spans="2:10" ht="15" thickBot="1" x14ac:dyDescent="0.4"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172</v>
      </c>
      <c r="G1" s="55" t="s">
        <v>105</v>
      </c>
      <c r="H1" s="55" t="s">
        <v>106</v>
      </c>
      <c r="I1" s="55" t="s">
        <v>105</v>
      </c>
      <c r="J1" s="55" t="s">
        <v>107</v>
      </c>
    </row>
    <row r="2" spans="2:10" ht="15" thickBot="1" x14ac:dyDescent="0.4">
      <c r="B2" s="57" t="s">
        <v>173</v>
      </c>
      <c r="C2" s="58" t="s">
        <v>174</v>
      </c>
      <c r="D2" s="58" t="s">
        <v>175</v>
      </c>
      <c r="E2" s="58" t="s">
        <v>176</v>
      </c>
      <c r="F2" s="73">
        <v>19.079999999999998</v>
      </c>
      <c r="G2" s="58" t="s">
        <v>112</v>
      </c>
      <c r="H2" s="58">
        <v>64</v>
      </c>
      <c r="I2" s="58" t="s">
        <v>119</v>
      </c>
      <c r="J2" s="79">
        <f>F2/H2</f>
        <v>0.29812499999999997</v>
      </c>
    </row>
    <row r="3" spans="2:10" ht="15" thickBot="1" x14ac:dyDescent="0.4">
      <c r="B3" s="59" t="s">
        <v>173</v>
      </c>
      <c r="C3" s="56" t="s">
        <v>177</v>
      </c>
      <c r="D3" s="56" t="s">
        <v>178</v>
      </c>
      <c r="E3" s="56" t="s">
        <v>179</v>
      </c>
      <c r="F3" s="74">
        <v>38.61</v>
      </c>
      <c r="G3" s="56" t="s">
        <v>112</v>
      </c>
      <c r="H3" s="56">
        <v>540</v>
      </c>
      <c r="I3" s="56" t="s">
        <v>180</v>
      </c>
      <c r="J3" s="79">
        <v>7.1499999999999994E-2</v>
      </c>
    </row>
    <row r="4" spans="2:10" ht="15" thickBot="1" x14ac:dyDescent="0.4">
      <c r="B4" s="59" t="s">
        <v>173</v>
      </c>
      <c r="C4" s="56" t="s">
        <v>181</v>
      </c>
      <c r="D4" s="56" t="s">
        <v>182</v>
      </c>
      <c r="E4" s="56" t="s">
        <v>183</v>
      </c>
      <c r="F4" s="74">
        <v>5.41</v>
      </c>
      <c r="G4" s="56" t="s">
        <v>184</v>
      </c>
      <c r="H4" s="56">
        <v>16</v>
      </c>
      <c r="I4" s="56" t="s">
        <v>119</v>
      </c>
      <c r="J4" s="79">
        <v>0.33812500000000001</v>
      </c>
    </row>
    <row r="5" spans="2:10" ht="15" thickBot="1" x14ac:dyDescent="0.4">
      <c r="B5" s="59" t="s">
        <v>173</v>
      </c>
      <c r="C5" s="56" t="s">
        <v>185</v>
      </c>
      <c r="D5" s="56" t="s">
        <v>178</v>
      </c>
      <c r="E5" s="56" t="s">
        <v>186</v>
      </c>
      <c r="F5" s="74">
        <v>50.99</v>
      </c>
      <c r="G5" s="56" t="s">
        <v>112</v>
      </c>
      <c r="H5" s="56">
        <v>240</v>
      </c>
      <c r="I5" s="56" t="s">
        <v>119</v>
      </c>
      <c r="J5" s="79">
        <v>0.21245833333333333</v>
      </c>
    </row>
    <row r="6" spans="2:10" ht="15" thickBot="1" x14ac:dyDescent="0.4">
      <c r="B6" s="59" t="s">
        <v>173</v>
      </c>
      <c r="C6" s="56" t="s">
        <v>187</v>
      </c>
      <c r="D6" s="56" t="s">
        <v>178</v>
      </c>
      <c r="E6" s="56" t="s">
        <v>186</v>
      </c>
      <c r="F6" s="74">
        <v>40.94</v>
      </c>
      <c r="G6" s="56" t="s">
        <v>112</v>
      </c>
      <c r="H6" s="56">
        <v>240</v>
      </c>
      <c r="I6" s="56" t="s">
        <v>119</v>
      </c>
      <c r="J6" s="79">
        <v>0.17058333333333334</v>
      </c>
    </row>
    <row r="7" spans="2:10" ht="15" thickBot="1" x14ac:dyDescent="0.4">
      <c r="B7" s="59" t="s">
        <v>173</v>
      </c>
      <c r="C7" s="56" t="s">
        <v>188</v>
      </c>
      <c r="D7" s="56" t="s">
        <v>175</v>
      </c>
      <c r="E7" s="56">
        <v>1</v>
      </c>
      <c r="F7" s="74">
        <v>5.1100000000000003</v>
      </c>
      <c r="G7" s="56" t="s">
        <v>184</v>
      </c>
      <c r="H7" s="56">
        <v>16</v>
      </c>
      <c r="I7" s="56" t="s">
        <v>119</v>
      </c>
      <c r="J7" s="79">
        <v>0.31937500000000002</v>
      </c>
    </row>
    <row r="8" spans="2:10" ht="15" thickBot="1" x14ac:dyDescent="0.4">
      <c r="B8" s="59" t="s">
        <v>173</v>
      </c>
      <c r="C8" s="56" t="s">
        <v>189</v>
      </c>
      <c r="D8" s="56" t="s">
        <v>178</v>
      </c>
      <c r="E8" s="56" t="s">
        <v>190</v>
      </c>
      <c r="F8" s="74">
        <v>25.45</v>
      </c>
      <c r="G8" s="56" t="s">
        <v>112</v>
      </c>
      <c r="H8" s="56">
        <v>70.400000000000006</v>
      </c>
      <c r="I8" s="56" t="s">
        <v>119</v>
      </c>
      <c r="J8" s="79">
        <v>0.36150568181818177</v>
      </c>
    </row>
    <row r="9" spans="2:10" ht="15" thickBot="1" x14ac:dyDescent="0.4">
      <c r="B9" s="59" t="s">
        <v>173</v>
      </c>
      <c r="C9" s="56" t="s">
        <v>191</v>
      </c>
      <c r="D9" s="56" t="s">
        <v>175</v>
      </c>
      <c r="E9" s="56" t="s">
        <v>192</v>
      </c>
      <c r="F9" s="74">
        <v>19.399999999999999</v>
      </c>
      <c r="G9" s="56" t="s">
        <v>112</v>
      </c>
      <c r="H9" s="56">
        <v>48</v>
      </c>
      <c r="I9" s="56" t="s">
        <v>119</v>
      </c>
      <c r="J9" s="79">
        <v>0.40416666666666662</v>
      </c>
    </row>
    <row r="10" spans="2:10" ht="15" thickBot="1" x14ac:dyDescent="0.4">
      <c r="B10" s="59" t="s">
        <v>173</v>
      </c>
      <c r="C10" s="56" t="s">
        <v>193</v>
      </c>
      <c r="D10" s="56" t="s">
        <v>194</v>
      </c>
      <c r="E10" s="56" t="s">
        <v>195</v>
      </c>
      <c r="F10" s="74">
        <v>19.440000000000001</v>
      </c>
      <c r="G10" s="56" t="s">
        <v>112</v>
      </c>
      <c r="H10" s="56">
        <v>48</v>
      </c>
      <c r="I10" s="56" t="s">
        <v>119</v>
      </c>
      <c r="J10" s="79">
        <v>0.40500000000000003</v>
      </c>
    </row>
    <row r="11" spans="2:10" ht="15" thickBot="1" x14ac:dyDescent="0.4">
      <c r="B11" s="59" t="s">
        <v>173</v>
      </c>
      <c r="C11" s="56" t="s">
        <v>196</v>
      </c>
      <c r="D11" s="56" t="s">
        <v>178</v>
      </c>
      <c r="E11" s="56" t="s">
        <v>197</v>
      </c>
      <c r="F11" s="74">
        <v>29.89</v>
      </c>
      <c r="G11" s="56" t="s">
        <v>112</v>
      </c>
      <c r="H11" s="56">
        <v>160</v>
      </c>
      <c r="I11" s="56" t="s">
        <v>119</v>
      </c>
      <c r="J11" s="79">
        <v>0.18681249999999999</v>
      </c>
    </row>
    <row r="12" spans="2:10" ht="15" thickBot="1" x14ac:dyDescent="0.4">
      <c r="B12" s="59" t="s">
        <v>173</v>
      </c>
      <c r="C12" s="56" t="s">
        <v>198</v>
      </c>
      <c r="D12" s="56" t="s">
        <v>178</v>
      </c>
      <c r="E12" s="56" t="s">
        <v>179</v>
      </c>
      <c r="F12" s="74">
        <v>41.63</v>
      </c>
      <c r="G12" s="56" t="s">
        <v>112</v>
      </c>
      <c r="H12" s="56">
        <v>320</v>
      </c>
      <c r="I12" s="56" t="s">
        <v>119</v>
      </c>
      <c r="J12" s="79">
        <v>0.13009375000000001</v>
      </c>
    </row>
    <row r="13" spans="2:10" ht="15" thickBot="1" x14ac:dyDescent="0.4">
      <c r="B13" s="59" t="s">
        <v>173</v>
      </c>
      <c r="C13" s="56" t="s">
        <v>199</v>
      </c>
      <c r="D13" s="56" t="s">
        <v>178</v>
      </c>
      <c r="E13" s="56" t="s">
        <v>200</v>
      </c>
      <c r="F13" s="74">
        <v>26.99</v>
      </c>
      <c r="G13" s="56" t="s">
        <v>112</v>
      </c>
      <c r="H13" s="64">
        <v>213.33333333333334</v>
      </c>
      <c r="I13" s="56" t="s">
        <v>180</v>
      </c>
      <c r="J13" s="79">
        <v>0.12651562499999999</v>
      </c>
    </row>
    <row r="14" spans="2:10" ht="15" thickBot="1" x14ac:dyDescent="0.4">
      <c r="B14" s="59" t="s">
        <v>173</v>
      </c>
      <c r="C14" s="56" t="s">
        <v>60</v>
      </c>
      <c r="D14" s="56" t="s">
        <v>178</v>
      </c>
      <c r="E14" s="56" t="s">
        <v>201</v>
      </c>
      <c r="F14" s="74">
        <v>28.79</v>
      </c>
      <c r="G14" s="56" t="s">
        <v>112</v>
      </c>
      <c r="H14" s="56">
        <v>64</v>
      </c>
      <c r="I14" s="56" t="s">
        <v>119</v>
      </c>
      <c r="J14" s="79">
        <v>0.44984374999999999</v>
      </c>
    </row>
    <row r="15" spans="2:10" ht="15" thickBot="1" x14ac:dyDescent="0.4">
      <c r="B15" s="59" t="s">
        <v>173</v>
      </c>
      <c r="C15" s="56" t="s">
        <v>202</v>
      </c>
      <c r="D15" s="56" t="s">
        <v>126</v>
      </c>
      <c r="E15" s="56" t="s">
        <v>179</v>
      </c>
      <c r="F15" s="74">
        <v>69.489999999999995</v>
      </c>
      <c r="G15" s="56" t="s">
        <v>112</v>
      </c>
      <c r="H15" s="56">
        <v>120</v>
      </c>
      <c r="I15" s="56" t="s">
        <v>119</v>
      </c>
      <c r="J15" s="79">
        <v>0.57908333333333328</v>
      </c>
    </row>
    <row r="16" spans="2:10" ht="15" thickBot="1" x14ac:dyDescent="0.4">
      <c r="B16" s="59" t="s">
        <v>173</v>
      </c>
      <c r="C16" s="56" t="s">
        <v>203</v>
      </c>
      <c r="D16" s="56" t="s">
        <v>178</v>
      </c>
      <c r="E16" s="56" t="s">
        <v>179</v>
      </c>
      <c r="F16" s="74">
        <v>31.75</v>
      </c>
      <c r="G16" s="56" t="s">
        <v>112</v>
      </c>
      <c r="H16" s="56">
        <v>320</v>
      </c>
      <c r="I16" s="56" t="s">
        <v>119</v>
      </c>
      <c r="J16" s="79">
        <v>9.9218749999999994E-2</v>
      </c>
    </row>
    <row r="17" spans="2:10" ht="15" thickBot="1" x14ac:dyDescent="0.4">
      <c r="B17" s="59" t="s">
        <v>173</v>
      </c>
      <c r="C17" s="56" t="s">
        <v>204</v>
      </c>
      <c r="D17" s="56" t="s">
        <v>178</v>
      </c>
      <c r="E17" s="56" t="s">
        <v>205</v>
      </c>
      <c r="F17" s="74">
        <v>61.92</v>
      </c>
      <c r="G17" s="56" t="s">
        <v>112</v>
      </c>
      <c r="H17" s="56">
        <v>480</v>
      </c>
      <c r="I17" s="56" t="s">
        <v>119</v>
      </c>
      <c r="J17" s="79">
        <v>0.129</v>
      </c>
    </row>
    <row r="18" spans="2:10" ht="15" thickBot="1" x14ac:dyDescent="0.4">
      <c r="B18" s="59" t="s">
        <v>173</v>
      </c>
      <c r="C18" s="56" t="s">
        <v>206</v>
      </c>
      <c r="D18" s="56" t="s">
        <v>178</v>
      </c>
      <c r="E18" s="56" t="s">
        <v>207</v>
      </c>
      <c r="F18" s="74">
        <v>46.12</v>
      </c>
      <c r="G18" s="56" t="s">
        <v>112</v>
      </c>
      <c r="H18" s="56">
        <v>288</v>
      </c>
      <c r="I18" s="56" t="s">
        <v>119</v>
      </c>
      <c r="J18" s="79">
        <v>0.16013888888888889</v>
      </c>
    </row>
    <row r="19" spans="2:10" ht="15" thickBot="1" x14ac:dyDescent="0.4">
      <c r="B19" s="59" t="s">
        <v>173</v>
      </c>
      <c r="C19" s="56" t="s">
        <v>208</v>
      </c>
      <c r="D19" s="56" t="s">
        <v>178</v>
      </c>
      <c r="E19" s="56" t="s">
        <v>200</v>
      </c>
      <c r="F19" s="74">
        <v>26.42</v>
      </c>
      <c r="G19" s="56" t="s">
        <v>112</v>
      </c>
      <c r="H19" s="56">
        <v>160</v>
      </c>
      <c r="I19" s="56" t="s">
        <v>119</v>
      </c>
      <c r="J19" s="79">
        <v>0.16512500000000002</v>
      </c>
    </row>
    <row r="20" spans="2:10" ht="15" thickBot="1" x14ac:dyDescent="0.4">
      <c r="B20" s="59" t="s">
        <v>173</v>
      </c>
      <c r="C20" s="56" t="s">
        <v>209</v>
      </c>
      <c r="D20" s="56" t="s">
        <v>178</v>
      </c>
      <c r="E20" s="56" t="s">
        <v>210</v>
      </c>
      <c r="F20" s="74">
        <v>63.42</v>
      </c>
      <c r="G20" s="56" t="s">
        <v>112</v>
      </c>
      <c r="H20" s="56">
        <v>432</v>
      </c>
      <c r="I20" s="56" t="s">
        <v>119</v>
      </c>
      <c r="J20" s="79">
        <v>0.14680555555555555</v>
      </c>
    </row>
    <row r="21" spans="2:10" ht="15" thickBot="1" x14ac:dyDescent="0.4">
      <c r="B21" s="59" t="s">
        <v>173</v>
      </c>
      <c r="C21" s="56" t="s">
        <v>211</v>
      </c>
      <c r="D21" s="56" t="s">
        <v>194</v>
      </c>
      <c r="E21" s="56" t="s">
        <v>212</v>
      </c>
      <c r="F21" s="74" t="s">
        <v>213</v>
      </c>
      <c r="G21" s="56" t="s">
        <v>214</v>
      </c>
      <c r="H21" s="56">
        <v>192</v>
      </c>
      <c r="I21" s="56" t="s">
        <v>119</v>
      </c>
      <c r="J21" s="79" t="e">
        <v>#VALUE!</v>
      </c>
    </row>
    <row r="22" spans="2:10" ht="15" thickBot="1" x14ac:dyDescent="0.4">
      <c r="B22" s="59" t="s">
        <v>173</v>
      </c>
      <c r="C22" s="56" t="s">
        <v>215</v>
      </c>
      <c r="D22" s="56" t="s">
        <v>182</v>
      </c>
      <c r="E22" s="56" t="s">
        <v>186</v>
      </c>
      <c r="F22" s="74">
        <v>51.04</v>
      </c>
      <c r="G22" s="56" t="s">
        <v>112</v>
      </c>
      <c r="H22" s="56">
        <v>240</v>
      </c>
      <c r="I22" s="56" t="s">
        <v>119</v>
      </c>
      <c r="J22" s="79">
        <v>0.21266666666666667</v>
      </c>
    </row>
    <row r="23" spans="2:10" ht="15" thickBot="1" x14ac:dyDescent="0.4">
      <c r="B23" s="59" t="s">
        <v>173</v>
      </c>
      <c r="C23" s="56" t="s">
        <v>216</v>
      </c>
      <c r="D23" s="56" t="s">
        <v>194</v>
      </c>
      <c r="E23" s="56" t="s">
        <v>217</v>
      </c>
      <c r="F23" s="74">
        <v>3.62</v>
      </c>
      <c r="G23" s="56" t="s">
        <v>184</v>
      </c>
      <c r="H23" s="56">
        <v>16</v>
      </c>
      <c r="I23" s="56" t="s">
        <v>119</v>
      </c>
      <c r="J23" s="79">
        <v>0.22625000000000001</v>
      </c>
    </row>
    <row r="24" spans="2:10" ht="15" thickBot="1" x14ac:dyDescent="0.4">
      <c r="B24" s="59" t="s">
        <v>173</v>
      </c>
      <c r="C24" s="56" t="s">
        <v>218</v>
      </c>
      <c r="D24" s="56" t="s">
        <v>219</v>
      </c>
      <c r="E24" s="56" t="s">
        <v>220</v>
      </c>
      <c r="F24" s="74">
        <v>70.930000000000007</v>
      </c>
      <c r="G24" s="56" t="s">
        <v>112</v>
      </c>
      <c r="H24" s="56">
        <v>480</v>
      </c>
      <c r="I24" s="56" t="s">
        <v>119</v>
      </c>
      <c r="J24" s="79">
        <v>0.14777083333333335</v>
      </c>
    </row>
    <row r="25" spans="2:10" ht="15" thickBot="1" x14ac:dyDescent="0.4">
      <c r="B25" s="59" t="s">
        <v>173</v>
      </c>
      <c r="C25" s="56" t="s">
        <v>221</v>
      </c>
      <c r="D25" s="56" t="s">
        <v>178</v>
      </c>
      <c r="E25" s="56" t="s">
        <v>222</v>
      </c>
      <c r="F25" s="74">
        <v>7.93</v>
      </c>
      <c r="G25" s="56" t="s">
        <v>184</v>
      </c>
      <c r="H25" s="56">
        <v>16</v>
      </c>
      <c r="I25" s="56" t="s">
        <v>119</v>
      </c>
      <c r="J25" s="79">
        <v>0.49562499999999998</v>
      </c>
    </row>
    <row r="26" spans="2:10" ht="15" thickBot="1" x14ac:dyDescent="0.4">
      <c r="B26" s="59" t="s">
        <v>173</v>
      </c>
      <c r="C26" s="56" t="s">
        <v>61</v>
      </c>
      <c r="D26" s="56" t="s">
        <v>223</v>
      </c>
      <c r="E26" s="56" t="s">
        <v>224</v>
      </c>
      <c r="F26" s="74">
        <v>4.1900000000000004</v>
      </c>
      <c r="G26" s="56" t="s">
        <v>184</v>
      </c>
      <c r="H26" s="56">
        <v>16</v>
      </c>
      <c r="I26" s="56" t="s">
        <v>119</v>
      </c>
      <c r="J26" s="79">
        <v>0.26187500000000002</v>
      </c>
    </row>
    <row r="27" spans="2:10" ht="15" thickBot="1" x14ac:dyDescent="0.4">
      <c r="B27" s="59" t="s">
        <v>173</v>
      </c>
      <c r="C27" s="56" t="s">
        <v>225</v>
      </c>
      <c r="D27" s="56" t="s">
        <v>194</v>
      </c>
      <c r="E27" s="56" t="s">
        <v>179</v>
      </c>
      <c r="F27" s="74">
        <v>78.569999999999993</v>
      </c>
      <c r="G27" s="56" t="s">
        <v>112</v>
      </c>
      <c r="H27" s="56">
        <v>320</v>
      </c>
      <c r="I27" s="56" t="s">
        <v>119</v>
      </c>
      <c r="J27" s="79">
        <v>0.24553124999999998</v>
      </c>
    </row>
    <row r="28" spans="2:10" ht="15" thickBot="1" x14ac:dyDescent="0.4">
      <c r="B28" s="59" t="s">
        <v>173</v>
      </c>
      <c r="C28" s="56" t="s">
        <v>226</v>
      </c>
      <c r="D28" s="56" t="s">
        <v>178</v>
      </c>
      <c r="E28" s="56" t="s">
        <v>200</v>
      </c>
      <c r="F28" s="74">
        <v>29.36</v>
      </c>
      <c r="G28" s="56" t="s">
        <v>112</v>
      </c>
      <c r="H28" s="64">
        <v>213.33333333333334</v>
      </c>
      <c r="I28" s="56" t="s">
        <v>180</v>
      </c>
      <c r="J28" s="79">
        <v>0.137625</v>
      </c>
    </row>
    <row r="29" spans="2:10" ht="15" thickBot="1" x14ac:dyDescent="0.4">
      <c r="B29" s="59" t="s">
        <v>173</v>
      </c>
      <c r="C29" s="56" t="s">
        <v>227</v>
      </c>
      <c r="D29" s="56" t="s">
        <v>182</v>
      </c>
      <c r="E29" s="56" t="s">
        <v>228</v>
      </c>
      <c r="F29" s="74">
        <v>24.81</v>
      </c>
      <c r="G29" s="56" t="s">
        <v>112</v>
      </c>
      <c r="H29" s="56">
        <v>96</v>
      </c>
      <c r="I29" s="56" t="s">
        <v>119</v>
      </c>
      <c r="J29" s="79">
        <v>0.25843749999999999</v>
      </c>
    </row>
    <row r="30" spans="2:10" ht="15" thickBot="1" x14ac:dyDescent="0.4">
      <c r="B30" s="59" t="s">
        <v>173</v>
      </c>
      <c r="C30" s="56" t="s">
        <v>92</v>
      </c>
      <c r="D30" s="56" t="s">
        <v>194</v>
      </c>
      <c r="E30" s="56" t="s">
        <v>229</v>
      </c>
      <c r="F30" s="74">
        <v>43.34</v>
      </c>
      <c r="G30" s="56" t="s">
        <v>112</v>
      </c>
      <c r="H30" s="56">
        <v>192</v>
      </c>
      <c r="I30" s="56" t="s">
        <v>119</v>
      </c>
      <c r="J30" s="79">
        <v>0.22572916666666668</v>
      </c>
    </row>
    <row r="31" spans="2:10" ht="15" thickBot="1" x14ac:dyDescent="0.4">
      <c r="B31" s="59" t="s">
        <v>173</v>
      </c>
      <c r="C31" s="56" t="s">
        <v>230</v>
      </c>
      <c r="D31" s="56" t="s">
        <v>182</v>
      </c>
      <c r="E31" s="56" t="s">
        <v>228</v>
      </c>
      <c r="F31" s="74">
        <v>24.9</v>
      </c>
      <c r="G31" s="56" t="s">
        <v>112</v>
      </c>
      <c r="H31" s="56">
        <v>96</v>
      </c>
      <c r="I31" s="56" t="s">
        <v>119</v>
      </c>
      <c r="J31" s="79">
        <v>0.25937499999999997</v>
      </c>
    </row>
    <row r="32" spans="2:10" ht="15" thickBot="1" x14ac:dyDescent="0.4">
      <c r="B32" s="59" t="s">
        <v>173</v>
      </c>
      <c r="C32" s="56" t="s">
        <v>231</v>
      </c>
      <c r="D32" s="56" t="s">
        <v>182</v>
      </c>
      <c r="E32" s="56" t="s">
        <v>179</v>
      </c>
      <c r="F32" s="74">
        <v>43.49</v>
      </c>
      <c r="G32" s="56" t="s">
        <v>112</v>
      </c>
      <c r="H32" s="56">
        <v>320</v>
      </c>
      <c r="I32" s="56" t="s">
        <v>119</v>
      </c>
      <c r="J32" s="79">
        <v>0.13590625000000001</v>
      </c>
    </row>
    <row r="33" spans="2:10" ht="15" thickBot="1" x14ac:dyDescent="0.4">
      <c r="B33" s="59" t="s">
        <v>173</v>
      </c>
      <c r="C33" s="56" t="s">
        <v>232</v>
      </c>
      <c r="D33" s="56" t="s">
        <v>182</v>
      </c>
      <c r="E33" s="56" t="s">
        <v>200</v>
      </c>
      <c r="F33" s="74">
        <v>29.56</v>
      </c>
      <c r="G33" s="56" t="s">
        <v>112</v>
      </c>
      <c r="H33" s="64">
        <v>213.33333333333334</v>
      </c>
      <c r="I33" s="56" t="s">
        <v>180</v>
      </c>
      <c r="J33" s="79">
        <v>0.13856249999999998</v>
      </c>
    </row>
    <row r="34" spans="2:10" ht="15" thickBot="1" x14ac:dyDescent="0.4">
      <c r="B34" s="59" t="s">
        <v>173</v>
      </c>
      <c r="C34" s="56" t="s">
        <v>233</v>
      </c>
      <c r="D34" s="56" t="s">
        <v>178</v>
      </c>
      <c r="E34" s="56" t="s">
        <v>200</v>
      </c>
      <c r="F34" s="74">
        <v>30.21</v>
      </c>
      <c r="G34" s="56" t="s">
        <v>112</v>
      </c>
      <c r="H34" s="64">
        <v>213.33333333333334</v>
      </c>
      <c r="I34" s="56" t="s">
        <v>180</v>
      </c>
      <c r="J34" s="79">
        <v>0.14160937500000001</v>
      </c>
    </row>
    <row r="35" spans="2:10" ht="15" thickBot="1" x14ac:dyDescent="0.4">
      <c r="B35" s="59" t="s">
        <v>173</v>
      </c>
      <c r="C35" s="56" t="s">
        <v>234</v>
      </c>
      <c r="D35" s="56" t="s">
        <v>235</v>
      </c>
      <c r="E35" s="56" t="s">
        <v>236</v>
      </c>
      <c r="F35" s="74">
        <v>40.42</v>
      </c>
      <c r="G35" s="56" t="s">
        <v>112</v>
      </c>
      <c r="H35" s="56">
        <v>160</v>
      </c>
      <c r="I35" s="56" t="s">
        <v>119</v>
      </c>
      <c r="J35" s="79">
        <v>0.25262499999999999</v>
      </c>
    </row>
    <row r="36" spans="2:10" ht="15" thickBot="1" x14ac:dyDescent="0.4">
      <c r="B36" s="59" t="s">
        <v>173</v>
      </c>
      <c r="C36" s="56" t="s">
        <v>237</v>
      </c>
      <c r="D36" s="56" t="s">
        <v>182</v>
      </c>
      <c r="E36" s="56" t="s">
        <v>179</v>
      </c>
      <c r="F36" s="74">
        <v>99.41</v>
      </c>
      <c r="G36" s="56" t="s">
        <v>112</v>
      </c>
      <c r="H36" s="56">
        <v>320</v>
      </c>
      <c r="I36" s="56" t="s">
        <v>119</v>
      </c>
      <c r="J36" s="79">
        <v>0.31065624999999997</v>
      </c>
    </row>
    <row r="37" spans="2:10" ht="15" thickBot="1" x14ac:dyDescent="0.4">
      <c r="B37" s="59" t="s">
        <v>173</v>
      </c>
      <c r="C37" s="56" t="s">
        <v>238</v>
      </c>
      <c r="D37" s="56" t="s">
        <v>182</v>
      </c>
      <c r="E37" s="56" t="s">
        <v>239</v>
      </c>
      <c r="F37" s="74">
        <v>4.9800000000000004</v>
      </c>
      <c r="G37" s="56" t="s">
        <v>184</v>
      </c>
      <c r="H37" s="56">
        <v>16</v>
      </c>
      <c r="I37" s="56" t="s">
        <v>119</v>
      </c>
      <c r="J37" s="79">
        <v>0.31125000000000003</v>
      </c>
    </row>
    <row r="38" spans="2:10" ht="15" thickBot="1" x14ac:dyDescent="0.4">
      <c r="B38" s="59" t="s">
        <v>173</v>
      </c>
      <c r="C38" s="56" t="s">
        <v>95</v>
      </c>
      <c r="D38" s="56" t="s">
        <v>178</v>
      </c>
      <c r="E38" s="56" t="s">
        <v>200</v>
      </c>
      <c r="F38" s="74">
        <v>31.12</v>
      </c>
      <c r="G38" s="56" t="s">
        <v>112</v>
      </c>
      <c r="H38" s="56">
        <v>213</v>
      </c>
      <c r="I38" s="56" t="s">
        <v>2</v>
      </c>
      <c r="J38" s="79">
        <v>0.14610328638497652</v>
      </c>
    </row>
    <row r="39" spans="2:10" ht="15" thickBot="1" x14ac:dyDescent="0.4">
      <c r="B39" s="59" t="s">
        <v>173</v>
      </c>
      <c r="C39" s="56" t="s">
        <v>240</v>
      </c>
      <c r="D39" s="56" t="s">
        <v>241</v>
      </c>
      <c r="E39" s="56" t="s">
        <v>242</v>
      </c>
      <c r="F39" s="74">
        <v>50.64</v>
      </c>
      <c r="G39" s="56" t="s">
        <v>112</v>
      </c>
      <c r="H39" s="56">
        <v>480</v>
      </c>
      <c r="I39" s="56" t="s">
        <v>180</v>
      </c>
      <c r="J39" s="79">
        <v>0.1055</v>
      </c>
    </row>
    <row r="40" spans="2:10" ht="15" thickBot="1" x14ac:dyDescent="0.4">
      <c r="B40" s="59" t="s">
        <v>173</v>
      </c>
      <c r="C40" s="56" t="s">
        <v>243</v>
      </c>
      <c r="D40" s="56" t="s">
        <v>182</v>
      </c>
      <c r="E40" s="56" t="s">
        <v>244</v>
      </c>
      <c r="F40" s="74">
        <v>28.36</v>
      </c>
      <c r="G40" s="56" t="s">
        <v>112</v>
      </c>
      <c r="H40" s="56">
        <v>192</v>
      </c>
      <c r="I40" s="56" t="s">
        <v>180</v>
      </c>
      <c r="J40" s="79">
        <v>0.14770833333333333</v>
      </c>
    </row>
    <row r="41" spans="2:10" ht="15" thickBot="1" x14ac:dyDescent="0.4">
      <c r="B41" s="59" t="s">
        <v>173</v>
      </c>
      <c r="C41" s="56" t="s">
        <v>28</v>
      </c>
      <c r="D41" s="56" t="s">
        <v>223</v>
      </c>
      <c r="E41" s="56" t="s">
        <v>245</v>
      </c>
      <c r="F41" s="74">
        <v>3.72</v>
      </c>
      <c r="G41" s="56" t="s">
        <v>184</v>
      </c>
      <c r="H41" s="56">
        <v>16</v>
      </c>
      <c r="I41" s="56" t="s">
        <v>119</v>
      </c>
      <c r="J41" s="79">
        <v>0.23250000000000001</v>
      </c>
    </row>
    <row r="42" spans="2:10" ht="15" thickBot="1" x14ac:dyDescent="0.4">
      <c r="B42" s="59" t="s">
        <v>173</v>
      </c>
      <c r="C42" s="56" t="s">
        <v>246</v>
      </c>
      <c r="D42" s="56" t="s">
        <v>182</v>
      </c>
      <c r="E42" s="56" t="s">
        <v>179</v>
      </c>
      <c r="F42" s="74">
        <v>29.95</v>
      </c>
      <c r="G42" s="56" t="s">
        <v>112</v>
      </c>
      <c r="H42" s="56">
        <v>320</v>
      </c>
      <c r="I42" s="56" t="s">
        <v>119</v>
      </c>
      <c r="J42" s="79">
        <v>9.3593750000000003E-2</v>
      </c>
    </row>
    <row r="43" spans="2:10" ht="15" thickBot="1" x14ac:dyDescent="0.4">
      <c r="B43" s="59" t="s">
        <v>173</v>
      </c>
      <c r="C43" s="56" t="s">
        <v>247</v>
      </c>
      <c r="D43" s="56" t="s">
        <v>248</v>
      </c>
      <c r="E43" s="56" t="s">
        <v>249</v>
      </c>
      <c r="F43" s="74">
        <v>30.26</v>
      </c>
      <c r="G43" s="56" t="s">
        <v>184</v>
      </c>
      <c r="H43" s="56">
        <v>16</v>
      </c>
      <c r="I43" s="56" t="s">
        <v>119</v>
      </c>
      <c r="J43" s="79">
        <v>1.8912500000000001</v>
      </c>
    </row>
    <row r="44" spans="2:10" ht="15" thickBot="1" x14ac:dyDescent="0.4">
      <c r="B44" s="59" t="s">
        <v>173</v>
      </c>
      <c r="C44" s="56" t="s">
        <v>70</v>
      </c>
      <c r="D44" s="56" t="s">
        <v>178</v>
      </c>
      <c r="E44" s="56" t="s">
        <v>200</v>
      </c>
      <c r="F44" s="74">
        <v>33.130000000000003</v>
      </c>
      <c r="G44" s="56" t="s">
        <v>112</v>
      </c>
      <c r="H44" s="64">
        <v>213.33333333333334</v>
      </c>
      <c r="I44" s="56" t="s">
        <v>119</v>
      </c>
      <c r="J44" s="79">
        <v>0.155296875</v>
      </c>
    </row>
    <row r="45" spans="2:10" ht="15" thickBot="1" x14ac:dyDescent="0.4">
      <c r="B45" s="59" t="s">
        <v>173</v>
      </c>
      <c r="C45" s="56" t="s">
        <v>250</v>
      </c>
      <c r="D45" s="56" t="s">
        <v>251</v>
      </c>
      <c r="E45" s="56" t="s">
        <v>252</v>
      </c>
      <c r="F45" s="74">
        <v>28.6</v>
      </c>
      <c r="G45" s="56" t="s">
        <v>2</v>
      </c>
      <c r="H45" s="56">
        <v>96</v>
      </c>
      <c r="I45" s="56" t="s">
        <v>119</v>
      </c>
      <c r="J45" s="79">
        <v>0.29791666666666666</v>
      </c>
    </row>
    <row r="46" spans="2:10" ht="15" thickBot="1" x14ac:dyDescent="0.4">
      <c r="B46" s="60" t="s">
        <v>173</v>
      </c>
      <c r="C46" s="61" t="s">
        <v>253</v>
      </c>
      <c r="D46" s="61" t="s">
        <v>254</v>
      </c>
      <c r="E46" s="61" t="s">
        <v>255</v>
      </c>
      <c r="F46" s="75">
        <v>2.1800000000000002</v>
      </c>
      <c r="G46" s="61" t="s">
        <v>184</v>
      </c>
      <c r="H46" s="61">
        <v>16</v>
      </c>
      <c r="I46" s="61" t="s">
        <v>119</v>
      </c>
      <c r="J46" s="79">
        <v>0.13625000000000001</v>
      </c>
    </row>
    <row r="47" spans="2:10" ht="15" thickBot="1" x14ac:dyDescent="0.4">
      <c r="B47" s="57" t="s">
        <v>256</v>
      </c>
      <c r="C47" s="58" t="s">
        <v>257</v>
      </c>
      <c r="D47" s="58" t="s">
        <v>178</v>
      </c>
      <c r="E47" s="58" t="s">
        <v>258</v>
      </c>
      <c r="F47" s="73">
        <v>105.88</v>
      </c>
      <c r="G47" s="58" t="s">
        <v>112</v>
      </c>
      <c r="H47" s="58">
        <v>576</v>
      </c>
      <c r="I47" s="58" t="s">
        <v>119</v>
      </c>
      <c r="J47" s="79">
        <v>0.18381944444444442</v>
      </c>
    </row>
    <row r="48" spans="2:10" ht="15" thickBot="1" x14ac:dyDescent="0.4">
      <c r="B48" s="59" t="s">
        <v>256</v>
      </c>
      <c r="C48" s="56" t="s">
        <v>259</v>
      </c>
      <c r="D48" s="56" t="s">
        <v>260</v>
      </c>
      <c r="E48" s="56" t="s">
        <v>261</v>
      </c>
      <c r="F48" s="74">
        <v>58.78</v>
      </c>
      <c r="G48" s="56" t="s">
        <v>112</v>
      </c>
      <c r="H48" s="56">
        <v>512</v>
      </c>
      <c r="I48" s="56" t="s">
        <v>119</v>
      </c>
      <c r="J48" s="79">
        <v>0.1148046875</v>
      </c>
    </row>
    <row r="49" spans="2:10" ht="15" thickBot="1" x14ac:dyDescent="0.4">
      <c r="B49" s="59" t="s">
        <v>256</v>
      </c>
      <c r="C49" s="56" t="s">
        <v>262</v>
      </c>
      <c r="D49" s="56" t="s">
        <v>178</v>
      </c>
      <c r="E49" s="56" t="s">
        <v>263</v>
      </c>
      <c r="F49" s="74">
        <v>5.59</v>
      </c>
      <c r="G49" s="56" t="s">
        <v>112</v>
      </c>
      <c r="H49" s="56">
        <v>256</v>
      </c>
      <c r="I49" s="56" t="s">
        <v>119</v>
      </c>
      <c r="J49" s="79">
        <v>2.1835937499999999E-2</v>
      </c>
    </row>
    <row r="50" spans="2:10" ht="15" thickBot="1" x14ac:dyDescent="0.4">
      <c r="B50" s="59" t="s">
        <v>256</v>
      </c>
      <c r="C50" s="56" t="s">
        <v>264</v>
      </c>
      <c r="D50" s="56" t="s">
        <v>178</v>
      </c>
      <c r="E50" s="56" t="s">
        <v>265</v>
      </c>
      <c r="F50" s="74">
        <v>11.66</v>
      </c>
      <c r="G50" s="56" t="s">
        <v>112</v>
      </c>
      <c r="H50" s="56">
        <v>384</v>
      </c>
      <c r="I50" s="56" t="s">
        <v>119</v>
      </c>
      <c r="J50" s="79">
        <v>3.0364583333333334E-2</v>
      </c>
    </row>
    <row r="51" spans="2:10" ht="15" thickBot="1" x14ac:dyDescent="0.4">
      <c r="B51" s="59" t="s">
        <v>256</v>
      </c>
      <c r="C51" s="56" t="s">
        <v>266</v>
      </c>
      <c r="D51" s="56" t="s">
        <v>178</v>
      </c>
      <c r="E51" s="56" t="s">
        <v>263</v>
      </c>
      <c r="F51" s="74">
        <v>4.66</v>
      </c>
      <c r="G51" s="56" t="s">
        <v>112</v>
      </c>
      <c r="H51" s="56">
        <v>256</v>
      </c>
      <c r="I51" s="56" t="s">
        <v>119</v>
      </c>
      <c r="J51" s="79">
        <v>1.8203125000000001E-2</v>
      </c>
    </row>
    <row r="52" spans="2:10" ht="15" thickBot="1" x14ac:dyDescent="0.4">
      <c r="B52" s="59" t="s">
        <v>256</v>
      </c>
      <c r="C52" s="56" t="s">
        <v>267</v>
      </c>
      <c r="D52" s="56" t="s">
        <v>178</v>
      </c>
      <c r="E52" s="56" t="s">
        <v>263</v>
      </c>
      <c r="F52" s="74">
        <v>6.86</v>
      </c>
      <c r="G52" s="56" t="s">
        <v>112</v>
      </c>
      <c r="H52" s="56">
        <v>256</v>
      </c>
      <c r="I52" s="56" t="s">
        <v>119</v>
      </c>
      <c r="J52" s="79">
        <v>2.6796875000000001E-2</v>
      </c>
    </row>
    <row r="53" spans="2:10" ht="15" thickBot="1" x14ac:dyDescent="0.4">
      <c r="B53" s="59" t="s">
        <v>256</v>
      </c>
      <c r="C53" s="56" t="s">
        <v>268</v>
      </c>
      <c r="D53" s="56" t="s">
        <v>269</v>
      </c>
      <c r="E53" s="56" t="s">
        <v>270</v>
      </c>
      <c r="F53" s="74">
        <v>10.42</v>
      </c>
      <c r="G53" s="56" t="s">
        <v>112</v>
      </c>
      <c r="H53" s="56">
        <v>100</v>
      </c>
      <c r="I53" s="56" t="s">
        <v>2</v>
      </c>
      <c r="J53" s="79">
        <v>0.1042</v>
      </c>
    </row>
    <row r="54" spans="2:10" ht="15" thickBot="1" x14ac:dyDescent="0.4">
      <c r="B54" s="59" t="s">
        <v>256</v>
      </c>
      <c r="C54" s="56" t="s">
        <v>271</v>
      </c>
      <c r="D54" s="56" t="s">
        <v>178</v>
      </c>
      <c r="E54" s="56" t="s">
        <v>272</v>
      </c>
      <c r="F54" s="74">
        <v>47.99</v>
      </c>
      <c r="G54" s="56" t="s">
        <v>112</v>
      </c>
      <c r="H54" s="56">
        <v>512</v>
      </c>
      <c r="I54" s="56" t="s">
        <v>119</v>
      </c>
      <c r="J54" s="79">
        <v>9.3730468750000004E-2</v>
      </c>
    </row>
    <row r="55" spans="2:10" ht="15" thickBot="1" x14ac:dyDescent="0.4">
      <c r="B55" s="59" t="s">
        <v>256</v>
      </c>
      <c r="C55" s="56" t="s">
        <v>273</v>
      </c>
      <c r="D55" s="56" t="s">
        <v>178</v>
      </c>
      <c r="E55" s="56" t="s">
        <v>274</v>
      </c>
      <c r="F55" s="74">
        <v>40.64</v>
      </c>
      <c r="G55" s="56" t="s">
        <v>112</v>
      </c>
      <c r="H55" s="56">
        <v>192</v>
      </c>
      <c r="I55" s="56" t="s">
        <v>119</v>
      </c>
      <c r="J55" s="79">
        <v>0.21166666666666667</v>
      </c>
    </row>
    <row r="56" spans="2:10" ht="15" thickBot="1" x14ac:dyDescent="0.4">
      <c r="B56" s="59" t="s">
        <v>256</v>
      </c>
      <c r="C56" s="56" t="s">
        <v>275</v>
      </c>
      <c r="D56" s="56" t="s">
        <v>178</v>
      </c>
      <c r="E56" s="56" t="s">
        <v>276</v>
      </c>
      <c r="F56" s="74">
        <v>26.93</v>
      </c>
      <c r="G56" s="56" t="s">
        <v>112</v>
      </c>
      <c r="H56" s="56">
        <v>192</v>
      </c>
      <c r="I56" s="56" t="s">
        <v>119</v>
      </c>
      <c r="J56" s="79">
        <v>0.14026041666666667</v>
      </c>
    </row>
    <row r="57" spans="2:10" ht="15" thickBot="1" x14ac:dyDescent="0.4">
      <c r="B57" s="60" t="s">
        <v>256</v>
      </c>
      <c r="C57" s="61" t="s">
        <v>277</v>
      </c>
      <c r="D57" s="61" t="s">
        <v>178</v>
      </c>
      <c r="E57" s="61" t="s">
        <v>276</v>
      </c>
      <c r="F57" s="75">
        <v>26.93</v>
      </c>
      <c r="G57" s="61" t="s">
        <v>112</v>
      </c>
      <c r="H57" s="61">
        <v>192</v>
      </c>
      <c r="I57" s="61" t="s">
        <v>119</v>
      </c>
      <c r="J57" s="79">
        <v>0.14026041666666667</v>
      </c>
    </row>
    <row r="58" spans="2:10" ht="15" thickBot="1" x14ac:dyDescent="0.4">
      <c r="B58" s="57" t="s">
        <v>278</v>
      </c>
      <c r="C58" s="58" t="s">
        <v>279</v>
      </c>
      <c r="D58" s="58" t="s">
        <v>178</v>
      </c>
      <c r="E58" s="58" t="s">
        <v>280</v>
      </c>
      <c r="F58" s="73">
        <v>35.43</v>
      </c>
      <c r="G58" s="58" t="s">
        <v>112</v>
      </c>
      <c r="H58" s="58">
        <v>400</v>
      </c>
      <c r="I58" s="58" t="s">
        <v>119</v>
      </c>
      <c r="J58" s="79">
        <v>8.8575000000000001E-2</v>
      </c>
    </row>
    <row r="59" spans="2:10" x14ac:dyDescent="0.35">
      <c r="B59" s="59" t="s">
        <v>278</v>
      </c>
      <c r="C59" s="56" t="s">
        <v>281</v>
      </c>
      <c r="D59" s="56" t="s">
        <v>178</v>
      </c>
      <c r="E59" s="56" t="s">
        <v>282</v>
      </c>
      <c r="F59" s="74">
        <v>40.76</v>
      </c>
      <c r="G59" s="56" t="s">
        <v>112</v>
      </c>
      <c r="H59" s="56">
        <v>640</v>
      </c>
      <c r="I59" s="56" t="s">
        <v>119</v>
      </c>
      <c r="J59" s="103">
        <v>6.3687499999999994E-2</v>
      </c>
    </row>
    <row r="60" spans="2:10" ht="15" thickBot="1" x14ac:dyDescent="0.4">
      <c r="B60" s="60" t="s">
        <v>278</v>
      </c>
      <c r="C60" s="61" t="s">
        <v>283</v>
      </c>
      <c r="D60" s="61" t="s">
        <v>178</v>
      </c>
      <c r="E60" s="61" t="s">
        <v>284</v>
      </c>
      <c r="F60" s="75">
        <v>39.36</v>
      </c>
      <c r="G60" s="61" t="s">
        <v>112</v>
      </c>
      <c r="H60" s="61">
        <v>180</v>
      </c>
      <c r="I60" s="61" t="s">
        <v>2</v>
      </c>
      <c r="J60" s="104">
        <v>0.21866666666666668</v>
      </c>
    </row>
    <row r="61" spans="2:10" x14ac:dyDescent="0.35">
      <c r="B61" s="54"/>
      <c r="C61" s="54"/>
      <c r="D61" s="54"/>
      <c r="E61" s="54"/>
      <c r="F61" s="54"/>
      <c r="G61" s="54"/>
      <c r="H61" s="54"/>
      <c r="I61" s="54"/>
      <c r="J61" s="54"/>
    </row>
  </sheetData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J118"/>
  <sheetViews>
    <sheetView topLeftCell="C86" workbookViewId="0">
      <selection activeCell="J97" sqref="J97"/>
    </sheetView>
  </sheetViews>
  <sheetFormatPr defaultRowHeight="14.5" x14ac:dyDescent="0.35"/>
  <cols>
    <col min="2" max="2" width="13.54296875" customWidth="1"/>
    <col min="3" max="3" width="84.26953125" customWidth="1"/>
    <col min="4" max="4" width="29.26953125" customWidth="1"/>
    <col min="10" max="10" width="8.7265625" style="44"/>
  </cols>
  <sheetData>
    <row r="1" spans="2:10" ht="15" thickBot="1" x14ac:dyDescent="0.4">
      <c r="B1" s="55" t="s">
        <v>100</v>
      </c>
      <c r="C1" s="55" t="s">
        <v>101</v>
      </c>
      <c r="D1" s="55" t="s">
        <v>102</v>
      </c>
      <c r="E1" s="55" t="s">
        <v>103</v>
      </c>
      <c r="F1" s="72" t="s">
        <v>285</v>
      </c>
      <c r="G1" s="55" t="s">
        <v>105</v>
      </c>
      <c r="H1" s="55" t="s">
        <v>106</v>
      </c>
      <c r="I1" s="55" t="s">
        <v>105</v>
      </c>
      <c r="J1" s="72" t="s">
        <v>107</v>
      </c>
    </row>
    <row r="2" spans="2:10" ht="15" thickBot="1" x14ac:dyDescent="0.4">
      <c r="B2" s="57" t="s">
        <v>286</v>
      </c>
      <c r="C2" s="58" t="s">
        <v>287</v>
      </c>
      <c r="D2" s="58" t="s">
        <v>251</v>
      </c>
      <c r="E2" s="58" t="s">
        <v>288</v>
      </c>
      <c r="F2" s="83">
        <v>28.87</v>
      </c>
      <c r="G2" s="58" t="s">
        <v>112</v>
      </c>
      <c r="H2" s="58">
        <v>100</v>
      </c>
      <c r="I2" s="58" t="s">
        <v>2</v>
      </c>
      <c r="J2" s="76">
        <v>0.28999999999999998</v>
      </c>
    </row>
    <row r="3" spans="2:10" ht="15" thickBot="1" x14ac:dyDescent="0.4">
      <c r="B3" s="59" t="s">
        <v>286</v>
      </c>
      <c r="C3" s="56" t="s">
        <v>289</v>
      </c>
      <c r="D3" s="56" t="s">
        <v>290</v>
      </c>
      <c r="E3" s="56" t="s">
        <v>291</v>
      </c>
      <c r="F3" s="84">
        <v>23.4</v>
      </c>
      <c r="G3" s="58" t="s">
        <v>112</v>
      </c>
      <c r="H3" s="56">
        <v>64</v>
      </c>
      <c r="I3" s="56" t="s">
        <v>2</v>
      </c>
      <c r="J3" s="77">
        <v>0.37</v>
      </c>
    </row>
    <row r="4" spans="2:10" ht="15" thickBot="1" x14ac:dyDescent="0.4">
      <c r="B4" s="59" t="s">
        <v>286</v>
      </c>
      <c r="C4" s="56" t="s">
        <v>292</v>
      </c>
      <c r="D4" s="56" t="s">
        <v>290</v>
      </c>
      <c r="E4" s="56" t="s">
        <v>293</v>
      </c>
      <c r="F4" s="84">
        <v>32.72</v>
      </c>
      <c r="G4" s="58" t="s">
        <v>112</v>
      </c>
      <c r="H4" s="56">
        <v>48</v>
      </c>
      <c r="I4" s="56" t="s">
        <v>2</v>
      </c>
      <c r="J4" s="77">
        <v>0.68</v>
      </c>
    </row>
    <row r="5" spans="2:10" x14ac:dyDescent="0.35">
      <c r="B5" s="59" t="s">
        <v>286</v>
      </c>
      <c r="C5" s="56" t="s">
        <v>294</v>
      </c>
      <c r="D5" s="56" t="s">
        <v>295</v>
      </c>
      <c r="E5" s="56" t="s">
        <v>296</v>
      </c>
      <c r="F5" s="84">
        <v>28.84</v>
      </c>
      <c r="G5" s="58" t="s">
        <v>112</v>
      </c>
      <c r="H5" s="56">
        <v>120</v>
      </c>
      <c r="I5" s="56" t="s">
        <v>2</v>
      </c>
      <c r="J5" s="77">
        <v>0.24</v>
      </c>
    </row>
    <row r="6" spans="2:10" x14ac:dyDescent="0.35">
      <c r="B6" s="59" t="s">
        <v>286</v>
      </c>
      <c r="C6" s="56" t="s">
        <v>297</v>
      </c>
      <c r="D6" s="56" t="s">
        <v>298</v>
      </c>
      <c r="E6" s="56" t="s">
        <v>299</v>
      </c>
      <c r="F6" s="74" t="s">
        <v>300</v>
      </c>
      <c r="G6" s="56"/>
      <c r="H6" s="56">
        <v>80</v>
      </c>
      <c r="I6" s="56" t="s">
        <v>2</v>
      </c>
      <c r="J6" s="77"/>
    </row>
    <row r="7" spans="2:10" x14ac:dyDescent="0.35">
      <c r="B7" s="59" t="s">
        <v>286</v>
      </c>
      <c r="C7" s="56" t="s">
        <v>301</v>
      </c>
      <c r="D7" s="56" t="s">
        <v>302</v>
      </c>
      <c r="E7" s="56" t="s">
        <v>303</v>
      </c>
      <c r="F7" s="85">
        <v>20.32</v>
      </c>
      <c r="G7" s="56" t="s">
        <v>112</v>
      </c>
      <c r="H7" s="56">
        <v>90</v>
      </c>
      <c r="I7" s="56" t="s">
        <v>2</v>
      </c>
      <c r="J7" s="77">
        <v>0.23</v>
      </c>
    </row>
    <row r="8" spans="2:10" x14ac:dyDescent="0.35">
      <c r="B8" s="59" t="s">
        <v>286</v>
      </c>
      <c r="C8" s="56" t="s">
        <v>304</v>
      </c>
      <c r="D8" s="56" t="s">
        <v>138</v>
      </c>
      <c r="E8" s="56" t="s">
        <v>305</v>
      </c>
      <c r="F8" s="85">
        <v>23.16</v>
      </c>
      <c r="G8" s="56" t="s">
        <v>112</v>
      </c>
      <c r="H8" s="56">
        <v>170</v>
      </c>
      <c r="I8" s="56" t="s">
        <v>2</v>
      </c>
      <c r="J8" s="77">
        <v>0.14000000000000001</v>
      </c>
    </row>
    <row r="9" spans="2:10" x14ac:dyDescent="0.35">
      <c r="B9" s="59" t="s">
        <v>286</v>
      </c>
      <c r="C9" s="56" t="s">
        <v>306</v>
      </c>
      <c r="D9" s="56" t="s">
        <v>307</v>
      </c>
      <c r="E9" s="56" t="s">
        <v>308</v>
      </c>
      <c r="F9" s="85">
        <v>46.12</v>
      </c>
      <c r="G9" s="56" t="s">
        <v>112</v>
      </c>
      <c r="H9" s="56">
        <v>84</v>
      </c>
      <c r="I9" s="56" t="s">
        <v>2</v>
      </c>
      <c r="J9" s="77">
        <v>0.55000000000000004</v>
      </c>
    </row>
    <row r="10" spans="2:10" x14ac:dyDescent="0.35">
      <c r="B10" s="59" t="s">
        <v>286</v>
      </c>
      <c r="C10" s="56" t="s">
        <v>309</v>
      </c>
      <c r="D10" s="56" t="s">
        <v>310</v>
      </c>
      <c r="E10" s="56" t="s">
        <v>311</v>
      </c>
      <c r="F10" s="85">
        <v>31.88</v>
      </c>
      <c r="G10" s="56" t="s">
        <v>112</v>
      </c>
      <c r="H10" s="56">
        <v>170</v>
      </c>
      <c r="I10" s="56" t="s">
        <v>2</v>
      </c>
      <c r="J10" s="77">
        <v>0.19</v>
      </c>
    </row>
    <row r="11" spans="2:10" x14ac:dyDescent="0.35">
      <c r="B11" s="59" t="s">
        <v>286</v>
      </c>
      <c r="C11" s="56" t="s">
        <v>312</v>
      </c>
      <c r="D11" s="56" t="s">
        <v>313</v>
      </c>
      <c r="E11" s="56" t="s">
        <v>314</v>
      </c>
      <c r="F11" s="85">
        <v>45.26</v>
      </c>
      <c r="G11" s="56" t="s">
        <v>112</v>
      </c>
      <c r="H11" s="56">
        <v>72</v>
      </c>
      <c r="I11" s="56" t="s">
        <v>2</v>
      </c>
      <c r="J11" s="77">
        <v>0.63</v>
      </c>
    </row>
    <row r="12" spans="2:10" x14ac:dyDescent="0.35">
      <c r="B12" s="59" t="s">
        <v>286</v>
      </c>
      <c r="C12" s="56" t="s">
        <v>315</v>
      </c>
      <c r="D12" s="56" t="s">
        <v>138</v>
      </c>
      <c r="E12" s="56" t="s">
        <v>316</v>
      </c>
      <c r="F12" s="85">
        <v>31.03</v>
      </c>
      <c r="G12" s="56" t="s">
        <v>112</v>
      </c>
      <c r="H12" s="56">
        <v>30</v>
      </c>
      <c r="I12" s="56" t="s">
        <v>2</v>
      </c>
      <c r="J12" s="77">
        <v>1.03</v>
      </c>
    </row>
    <row r="13" spans="2:10" x14ac:dyDescent="0.35">
      <c r="B13" s="59" t="s">
        <v>286</v>
      </c>
      <c r="C13" s="56" t="s">
        <v>317</v>
      </c>
      <c r="D13" s="56" t="s">
        <v>318</v>
      </c>
      <c r="E13" s="56" t="s">
        <v>319</v>
      </c>
      <c r="F13" s="74" t="s">
        <v>300</v>
      </c>
      <c r="G13" s="56"/>
      <c r="H13" s="56">
        <v>60</v>
      </c>
      <c r="I13" s="56" t="s">
        <v>2</v>
      </c>
      <c r="J13" s="77"/>
    </row>
    <row r="14" spans="2:10" x14ac:dyDescent="0.35">
      <c r="B14" s="59" t="s">
        <v>286</v>
      </c>
      <c r="C14" s="56" t="s">
        <v>320</v>
      </c>
      <c r="D14" s="56" t="s">
        <v>138</v>
      </c>
      <c r="E14" s="56" t="s">
        <v>321</v>
      </c>
      <c r="F14" s="85">
        <v>19.760000000000002</v>
      </c>
      <c r="G14" s="56" t="s">
        <v>112</v>
      </c>
      <c r="H14" s="56">
        <v>96</v>
      </c>
      <c r="I14" s="56" t="s">
        <v>2</v>
      </c>
      <c r="J14" s="77">
        <v>0.21</v>
      </c>
    </row>
    <row r="15" spans="2:10" x14ac:dyDescent="0.35">
      <c r="B15" s="59" t="s">
        <v>286</v>
      </c>
      <c r="C15" s="56" t="s">
        <v>322</v>
      </c>
      <c r="D15" s="56" t="s">
        <v>138</v>
      </c>
      <c r="E15" s="56" t="s">
        <v>323</v>
      </c>
      <c r="F15" s="85">
        <v>21.37</v>
      </c>
      <c r="G15" s="56" t="s">
        <v>112</v>
      </c>
      <c r="H15" s="56">
        <v>32</v>
      </c>
      <c r="I15" s="56" t="s">
        <v>2</v>
      </c>
      <c r="J15" s="77">
        <v>0.67</v>
      </c>
    </row>
    <row r="16" spans="2:10" x14ac:dyDescent="0.35">
      <c r="B16" s="59" t="s">
        <v>286</v>
      </c>
      <c r="C16" s="56" t="s">
        <v>324</v>
      </c>
      <c r="D16" s="56" t="s">
        <v>325</v>
      </c>
      <c r="E16" s="56" t="s">
        <v>326</v>
      </c>
      <c r="F16" s="85">
        <v>23.72</v>
      </c>
      <c r="G16" s="56" t="s">
        <v>112</v>
      </c>
      <c r="H16" s="56">
        <v>60</v>
      </c>
      <c r="I16" s="56" t="s">
        <v>2</v>
      </c>
      <c r="J16" s="77">
        <v>0.4</v>
      </c>
    </row>
    <row r="17" spans="2:10" x14ac:dyDescent="0.35">
      <c r="B17" s="59" t="s">
        <v>286</v>
      </c>
      <c r="C17" s="56" t="s">
        <v>327</v>
      </c>
      <c r="D17" s="56" t="s">
        <v>325</v>
      </c>
      <c r="E17" s="56" t="s">
        <v>326</v>
      </c>
      <c r="F17" s="85">
        <v>21.88</v>
      </c>
      <c r="G17" s="56" t="s">
        <v>112</v>
      </c>
      <c r="H17" s="56">
        <v>60</v>
      </c>
      <c r="I17" s="56" t="s">
        <v>2</v>
      </c>
      <c r="J17" s="77">
        <v>0.36</v>
      </c>
    </row>
    <row r="18" spans="2:10" x14ac:dyDescent="0.35">
      <c r="B18" s="59" t="s">
        <v>286</v>
      </c>
      <c r="C18" s="56" t="s">
        <v>328</v>
      </c>
      <c r="D18" s="56" t="s">
        <v>325</v>
      </c>
      <c r="E18" s="56" t="s">
        <v>326</v>
      </c>
      <c r="F18" s="85">
        <v>20.440000000000001</v>
      </c>
      <c r="G18" s="56" t="s">
        <v>112</v>
      </c>
      <c r="H18" s="56">
        <v>60</v>
      </c>
      <c r="I18" s="56" t="s">
        <v>2</v>
      </c>
      <c r="J18" s="77">
        <v>0.34</v>
      </c>
    </row>
    <row r="19" spans="2:10" x14ac:dyDescent="0.35">
      <c r="B19" s="59" t="s">
        <v>286</v>
      </c>
      <c r="C19" s="56" t="s">
        <v>329</v>
      </c>
      <c r="D19" s="56" t="s">
        <v>330</v>
      </c>
      <c r="E19" s="56" t="s">
        <v>331</v>
      </c>
      <c r="F19" s="85">
        <v>75.5</v>
      </c>
      <c r="G19" s="56" t="s">
        <v>112</v>
      </c>
      <c r="H19" s="56">
        <v>120</v>
      </c>
      <c r="I19" s="56" t="s">
        <v>2</v>
      </c>
      <c r="J19" s="77">
        <v>0.63</v>
      </c>
    </row>
    <row r="20" spans="2:10" x14ac:dyDescent="0.35">
      <c r="B20" s="59" t="s">
        <v>286</v>
      </c>
      <c r="C20" s="56" t="s">
        <v>332</v>
      </c>
      <c r="D20" s="56" t="s">
        <v>182</v>
      </c>
      <c r="E20" s="56" t="s">
        <v>333</v>
      </c>
      <c r="F20" s="85">
        <v>34.53</v>
      </c>
      <c r="G20" s="56" t="s">
        <v>112</v>
      </c>
      <c r="H20" s="56">
        <v>20</v>
      </c>
      <c r="I20" s="56" t="s">
        <v>2</v>
      </c>
      <c r="J20" s="77">
        <v>1.73</v>
      </c>
    </row>
    <row r="21" spans="2:10" x14ac:dyDescent="0.35">
      <c r="B21" s="59" t="s">
        <v>286</v>
      </c>
      <c r="C21" s="56" t="s">
        <v>57</v>
      </c>
      <c r="D21" s="56" t="s">
        <v>182</v>
      </c>
      <c r="E21" s="56" t="s">
        <v>334</v>
      </c>
      <c r="F21" s="85">
        <v>39.54</v>
      </c>
      <c r="G21" s="56" t="s">
        <v>112</v>
      </c>
      <c r="H21" s="56">
        <v>96</v>
      </c>
      <c r="I21" s="56" t="s">
        <v>2</v>
      </c>
      <c r="J21" s="77">
        <v>0.41</v>
      </c>
    </row>
    <row r="22" spans="2:10" x14ac:dyDescent="0.35">
      <c r="B22" s="59" t="s">
        <v>286</v>
      </c>
      <c r="C22" s="56" t="s">
        <v>335</v>
      </c>
      <c r="D22" s="56" t="s">
        <v>336</v>
      </c>
      <c r="E22" s="56" t="s">
        <v>337</v>
      </c>
      <c r="F22" s="85">
        <v>16.36</v>
      </c>
      <c r="G22" s="56" t="s">
        <v>112</v>
      </c>
      <c r="H22" s="56">
        <v>48</v>
      </c>
      <c r="I22" s="56" t="s">
        <v>2</v>
      </c>
      <c r="J22" s="77">
        <v>0.34</v>
      </c>
    </row>
    <row r="23" spans="2:10" x14ac:dyDescent="0.35">
      <c r="B23" s="59" t="s">
        <v>286</v>
      </c>
      <c r="C23" s="56" t="s">
        <v>338</v>
      </c>
      <c r="D23" s="56" t="s">
        <v>339</v>
      </c>
      <c r="E23" s="56" t="s">
        <v>340</v>
      </c>
      <c r="F23" s="85">
        <v>38.28</v>
      </c>
      <c r="G23" s="56" t="s">
        <v>112</v>
      </c>
      <c r="H23" s="56">
        <v>24</v>
      </c>
      <c r="I23" s="56" t="s">
        <v>2</v>
      </c>
      <c r="J23" s="77">
        <v>1.6</v>
      </c>
    </row>
    <row r="24" spans="2:10" x14ac:dyDescent="0.35">
      <c r="B24" s="59" t="s">
        <v>286</v>
      </c>
      <c r="C24" s="56" t="s">
        <v>341</v>
      </c>
      <c r="D24" s="56" t="s">
        <v>342</v>
      </c>
      <c r="E24" s="56" t="s">
        <v>343</v>
      </c>
      <c r="F24" s="85">
        <v>33.270000000000003</v>
      </c>
      <c r="G24" s="56" t="s">
        <v>112</v>
      </c>
      <c r="H24" s="56">
        <v>216</v>
      </c>
      <c r="I24" s="56" t="s">
        <v>2</v>
      </c>
      <c r="J24" s="77">
        <v>0.15</v>
      </c>
    </row>
    <row r="25" spans="2:10" x14ac:dyDescent="0.35">
      <c r="B25" s="59" t="s">
        <v>286</v>
      </c>
      <c r="C25" s="56" t="s">
        <v>344</v>
      </c>
      <c r="D25" s="56" t="s">
        <v>342</v>
      </c>
      <c r="E25" s="56" t="s">
        <v>345</v>
      </c>
      <c r="F25" s="85">
        <v>36.25</v>
      </c>
      <c r="G25" s="56" t="s">
        <v>112</v>
      </c>
      <c r="H25" s="56">
        <v>80</v>
      </c>
      <c r="I25" s="56" t="s">
        <v>2</v>
      </c>
      <c r="J25" s="77">
        <v>0.45</v>
      </c>
    </row>
    <row r="26" spans="2:10" x14ac:dyDescent="0.35">
      <c r="B26" s="59" t="s">
        <v>286</v>
      </c>
      <c r="C26" s="56" t="s">
        <v>346</v>
      </c>
      <c r="D26" s="56" t="s">
        <v>290</v>
      </c>
      <c r="E26" s="56" t="s">
        <v>347</v>
      </c>
      <c r="F26" s="85">
        <v>31.12</v>
      </c>
      <c r="G26" s="56" t="s">
        <v>112</v>
      </c>
      <c r="H26" s="56">
        <v>60</v>
      </c>
      <c r="I26" s="56" t="s">
        <v>2</v>
      </c>
      <c r="J26" s="77">
        <v>0.52</v>
      </c>
    </row>
    <row r="27" spans="2:10" x14ac:dyDescent="0.35">
      <c r="B27" s="59" t="s">
        <v>286</v>
      </c>
      <c r="C27" s="56" t="s">
        <v>348</v>
      </c>
      <c r="D27" s="56" t="s">
        <v>349</v>
      </c>
      <c r="E27" s="56" t="s">
        <v>350</v>
      </c>
      <c r="F27" s="85">
        <v>27.65</v>
      </c>
      <c r="G27" s="56" t="s">
        <v>112</v>
      </c>
      <c r="H27" s="56">
        <v>54</v>
      </c>
      <c r="I27" s="56" t="s">
        <v>2</v>
      </c>
      <c r="J27" s="77">
        <v>0.51</v>
      </c>
    </row>
    <row r="28" spans="2:10" x14ac:dyDescent="0.35">
      <c r="B28" s="59" t="s">
        <v>286</v>
      </c>
      <c r="C28" s="56" t="s">
        <v>351</v>
      </c>
      <c r="D28" s="56" t="s">
        <v>352</v>
      </c>
      <c r="E28" s="56" t="s">
        <v>353</v>
      </c>
      <c r="F28" s="85">
        <v>27.72</v>
      </c>
      <c r="G28" s="56" t="s">
        <v>112</v>
      </c>
      <c r="H28" s="56">
        <v>54</v>
      </c>
      <c r="I28" s="56" t="s">
        <v>2</v>
      </c>
      <c r="J28" s="77">
        <v>0.51</v>
      </c>
    </row>
    <row r="29" spans="2:10" ht="15" thickBot="1" x14ac:dyDescent="0.4">
      <c r="B29" s="62" t="s">
        <v>286</v>
      </c>
      <c r="C29" s="63" t="s">
        <v>354</v>
      </c>
      <c r="D29" s="63" t="s">
        <v>355</v>
      </c>
      <c r="E29" s="63" t="s">
        <v>356</v>
      </c>
      <c r="F29" s="86">
        <v>32.68</v>
      </c>
      <c r="G29" s="61" t="s">
        <v>112</v>
      </c>
      <c r="H29" s="63">
        <v>96</v>
      </c>
      <c r="I29" s="63" t="s">
        <v>2</v>
      </c>
      <c r="J29" s="101">
        <v>0.34</v>
      </c>
    </row>
    <row r="30" spans="2:10" x14ac:dyDescent="0.35">
      <c r="B30" s="57" t="s">
        <v>357</v>
      </c>
      <c r="C30" s="58" t="s">
        <v>358</v>
      </c>
      <c r="D30" s="58" t="s">
        <v>359</v>
      </c>
      <c r="E30" s="58" t="s">
        <v>360</v>
      </c>
      <c r="F30" s="84">
        <v>63.41</v>
      </c>
      <c r="G30" s="45" t="s">
        <v>112</v>
      </c>
      <c r="H30" s="58">
        <v>64</v>
      </c>
      <c r="I30" s="58" t="s">
        <v>2</v>
      </c>
      <c r="J30" s="76">
        <v>0.99</v>
      </c>
    </row>
    <row r="31" spans="2:10" x14ac:dyDescent="0.35">
      <c r="B31" s="59" t="s">
        <v>357</v>
      </c>
      <c r="C31" s="56" t="s">
        <v>361</v>
      </c>
      <c r="D31" s="56" t="s">
        <v>251</v>
      </c>
      <c r="E31" s="56" t="s">
        <v>362</v>
      </c>
      <c r="F31" s="85">
        <v>47.47</v>
      </c>
      <c r="G31" s="56" t="s">
        <v>112</v>
      </c>
      <c r="H31" s="56">
        <v>120</v>
      </c>
      <c r="I31" s="56" t="s">
        <v>2</v>
      </c>
      <c r="J31" s="77">
        <v>0.4</v>
      </c>
    </row>
    <row r="32" spans="2:10" x14ac:dyDescent="0.35">
      <c r="B32" s="59" t="s">
        <v>357</v>
      </c>
      <c r="C32" s="56" t="s">
        <v>363</v>
      </c>
      <c r="D32" s="56" t="s">
        <v>364</v>
      </c>
      <c r="E32" s="56" t="s">
        <v>365</v>
      </c>
      <c r="F32" s="85">
        <v>15.72</v>
      </c>
      <c r="G32" s="56" t="s">
        <v>112</v>
      </c>
      <c r="H32" s="56">
        <v>50</v>
      </c>
      <c r="I32" s="56" t="s">
        <v>2</v>
      </c>
      <c r="J32" s="77">
        <v>0.31</v>
      </c>
    </row>
    <row r="33" spans="2:10" x14ac:dyDescent="0.35">
      <c r="B33" s="59" t="s">
        <v>357</v>
      </c>
      <c r="C33" s="56" t="s">
        <v>366</v>
      </c>
      <c r="D33" s="56" t="s">
        <v>251</v>
      </c>
      <c r="E33" s="56" t="s">
        <v>367</v>
      </c>
      <c r="F33" s="85">
        <v>41.56</v>
      </c>
      <c r="G33" s="56" t="s">
        <v>112</v>
      </c>
      <c r="H33" s="56">
        <v>60</v>
      </c>
      <c r="I33" s="56" t="s">
        <v>2</v>
      </c>
      <c r="J33" s="77">
        <v>0.69</v>
      </c>
    </row>
    <row r="34" spans="2:10" x14ac:dyDescent="0.35">
      <c r="B34" s="59" t="s">
        <v>357</v>
      </c>
      <c r="C34" s="56" t="s">
        <v>368</v>
      </c>
      <c r="D34" s="56" t="s">
        <v>251</v>
      </c>
      <c r="E34" s="56" t="s">
        <v>367</v>
      </c>
      <c r="F34" s="85">
        <v>41.56</v>
      </c>
      <c r="G34" s="56" t="s">
        <v>112</v>
      </c>
      <c r="H34" s="56">
        <v>60</v>
      </c>
      <c r="I34" s="56" t="s">
        <v>2</v>
      </c>
      <c r="J34" s="77">
        <v>0.69</v>
      </c>
    </row>
    <row r="35" spans="2:10" x14ac:dyDescent="0.35">
      <c r="B35" s="59" t="s">
        <v>357</v>
      </c>
      <c r="C35" s="56" t="s">
        <v>369</v>
      </c>
      <c r="D35" s="56" t="s">
        <v>370</v>
      </c>
      <c r="E35" s="56" t="s">
        <v>371</v>
      </c>
      <c r="F35" s="85">
        <v>35.61</v>
      </c>
      <c r="G35" s="56" t="s">
        <v>112</v>
      </c>
      <c r="H35" s="56">
        <v>240</v>
      </c>
      <c r="I35" s="56" t="s">
        <v>2</v>
      </c>
      <c r="J35" s="77">
        <v>0.15</v>
      </c>
    </row>
    <row r="36" spans="2:10" x14ac:dyDescent="0.35">
      <c r="B36" s="59" t="s">
        <v>357</v>
      </c>
      <c r="C36" s="56" t="s">
        <v>372</v>
      </c>
      <c r="D36" s="56" t="s">
        <v>373</v>
      </c>
      <c r="E36" s="56" t="s">
        <v>374</v>
      </c>
      <c r="F36" s="85">
        <v>77.22</v>
      </c>
      <c r="G36" s="56" t="s">
        <v>112</v>
      </c>
      <c r="H36" s="56">
        <v>84</v>
      </c>
      <c r="I36" s="56" t="s">
        <v>2</v>
      </c>
      <c r="J36" s="77">
        <v>0.92</v>
      </c>
    </row>
    <row r="37" spans="2:10" x14ac:dyDescent="0.35">
      <c r="B37" s="59" t="s">
        <v>357</v>
      </c>
      <c r="C37" s="56" t="s">
        <v>375</v>
      </c>
      <c r="D37" s="56" t="s">
        <v>376</v>
      </c>
      <c r="E37" s="56" t="s">
        <v>377</v>
      </c>
      <c r="F37" s="85">
        <v>44.8</v>
      </c>
      <c r="G37" s="56" t="s">
        <v>112</v>
      </c>
      <c r="H37" s="56">
        <v>320</v>
      </c>
      <c r="I37" s="56" t="s">
        <v>2</v>
      </c>
      <c r="J37" s="77">
        <v>0.14000000000000001</v>
      </c>
    </row>
    <row r="38" spans="2:10" x14ac:dyDescent="0.35">
      <c r="B38" s="59" t="s">
        <v>357</v>
      </c>
      <c r="C38" s="56" t="s">
        <v>378</v>
      </c>
      <c r="D38" s="56" t="s">
        <v>379</v>
      </c>
      <c r="E38" s="56" t="s">
        <v>377</v>
      </c>
      <c r="F38" s="85">
        <v>27.92</v>
      </c>
      <c r="G38" s="56" t="s">
        <v>112</v>
      </c>
      <c r="H38" s="56">
        <v>320</v>
      </c>
      <c r="I38" s="56" t="s">
        <v>2</v>
      </c>
      <c r="J38" s="77">
        <v>0.09</v>
      </c>
    </row>
    <row r="39" spans="2:10" x14ac:dyDescent="0.35">
      <c r="B39" s="59" t="s">
        <v>357</v>
      </c>
      <c r="C39" s="56" t="s">
        <v>380</v>
      </c>
      <c r="D39" s="56" t="s">
        <v>381</v>
      </c>
      <c r="E39" s="56" t="s">
        <v>382</v>
      </c>
      <c r="F39" s="85">
        <v>72.39</v>
      </c>
      <c r="G39" s="56" t="s">
        <v>112</v>
      </c>
      <c r="H39" s="56">
        <v>180</v>
      </c>
      <c r="I39" s="56" t="s">
        <v>2</v>
      </c>
      <c r="J39" s="77">
        <v>0.4</v>
      </c>
    </row>
    <row r="40" spans="2:10" x14ac:dyDescent="0.35">
      <c r="B40" s="59" t="s">
        <v>357</v>
      </c>
      <c r="C40" s="56" t="s">
        <v>383</v>
      </c>
      <c r="D40" s="56" t="s">
        <v>384</v>
      </c>
      <c r="E40" s="56" t="s">
        <v>385</v>
      </c>
      <c r="F40" s="85">
        <v>39.950000000000003</v>
      </c>
      <c r="G40" s="56" t="s">
        <v>112</v>
      </c>
      <c r="H40" s="56">
        <v>104</v>
      </c>
      <c r="I40" s="56" t="s">
        <v>2</v>
      </c>
      <c r="J40" s="77">
        <v>0.38</v>
      </c>
    </row>
    <row r="41" spans="2:10" x14ac:dyDescent="0.35">
      <c r="B41" s="59" t="s">
        <v>357</v>
      </c>
      <c r="C41" s="56" t="s">
        <v>386</v>
      </c>
      <c r="D41" s="56" t="s">
        <v>373</v>
      </c>
      <c r="E41" s="56" t="s">
        <v>374</v>
      </c>
      <c r="F41" s="85">
        <v>77.22</v>
      </c>
      <c r="G41" s="56" t="s">
        <v>112</v>
      </c>
      <c r="H41" s="56">
        <v>84</v>
      </c>
      <c r="I41" s="56" t="s">
        <v>2</v>
      </c>
      <c r="J41" s="77">
        <v>0.92</v>
      </c>
    </row>
    <row r="42" spans="2:10" x14ac:dyDescent="0.35">
      <c r="B42" s="59" t="s">
        <v>357</v>
      </c>
      <c r="C42" s="56" t="s">
        <v>387</v>
      </c>
      <c r="D42" s="56" t="s">
        <v>384</v>
      </c>
      <c r="E42" s="56" t="s">
        <v>388</v>
      </c>
      <c r="F42" s="74" t="s">
        <v>300</v>
      </c>
      <c r="G42" s="56" t="s">
        <v>112</v>
      </c>
      <c r="H42" s="56">
        <v>104</v>
      </c>
      <c r="I42" s="56" t="s">
        <v>2</v>
      </c>
      <c r="J42" s="102"/>
    </row>
    <row r="43" spans="2:10" x14ac:dyDescent="0.35">
      <c r="B43" s="59" t="s">
        <v>357</v>
      </c>
      <c r="C43" s="56" t="s">
        <v>389</v>
      </c>
      <c r="D43" s="56" t="s">
        <v>390</v>
      </c>
      <c r="E43" s="56" t="s">
        <v>391</v>
      </c>
      <c r="F43" s="85">
        <v>49.62</v>
      </c>
      <c r="G43" s="56" t="s">
        <v>112</v>
      </c>
      <c r="H43" s="56">
        <v>106</v>
      </c>
      <c r="I43" s="56" t="s">
        <v>2</v>
      </c>
      <c r="J43" s="77">
        <v>0.47</v>
      </c>
    </row>
    <row r="44" spans="2:10" x14ac:dyDescent="0.35">
      <c r="B44" s="59" t="s">
        <v>357</v>
      </c>
      <c r="C44" s="56" t="s">
        <v>392</v>
      </c>
      <c r="D44" s="56" t="s">
        <v>390</v>
      </c>
      <c r="E44" s="56" t="s">
        <v>391</v>
      </c>
      <c r="F44" s="85">
        <v>60.44</v>
      </c>
      <c r="G44" s="56" t="s">
        <v>112</v>
      </c>
      <c r="H44" s="56">
        <v>106</v>
      </c>
      <c r="I44" s="56" t="s">
        <v>2</v>
      </c>
      <c r="J44" s="77">
        <v>0.56999999999999995</v>
      </c>
    </row>
    <row r="45" spans="2:10" x14ac:dyDescent="0.35">
      <c r="B45" s="59" t="s">
        <v>357</v>
      </c>
      <c r="C45" s="56" t="s">
        <v>393</v>
      </c>
      <c r="D45" s="56" t="s">
        <v>394</v>
      </c>
      <c r="E45" s="56" t="s">
        <v>395</v>
      </c>
      <c r="F45" s="85">
        <v>75.7</v>
      </c>
      <c r="G45" s="56" t="s">
        <v>112</v>
      </c>
      <c r="H45" s="56">
        <v>84</v>
      </c>
      <c r="I45" s="56" t="s">
        <v>2</v>
      </c>
      <c r="J45" s="77">
        <v>0.9</v>
      </c>
    </row>
    <row r="46" spans="2:10" x14ac:dyDescent="0.35">
      <c r="B46" s="59" t="s">
        <v>357</v>
      </c>
      <c r="C46" s="56" t="s">
        <v>396</v>
      </c>
      <c r="D46" s="56" t="s">
        <v>397</v>
      </c>
      <c r="E46" s="56" t="s">
        <v>398</v>
      </c>
      <c r="F46" s="74" t="s">
        <v>300</v>
      </c>
      <c r="G46" s="56" t="s">
        <v>112</v>
      </c>
      <c r="H46" s="56">
        <v>80</v>
      </c>
      <c r="I46" s="56" t="s">
        <v>2</v>
      </c>
      <c r="J46" s="102"/>
    </row>
    <row r="47" spans="2:10" x14ac:dyDescent="0.35">
      <c r="B47" s="59" t="s">
        <v>357</v>
      </c>
      <c r="C47" s="56" t="s">
        <v>399</v>
      </c>
      <c r="D47" s="56" t="s">
        <v>381</v>
      </c>
      <c r="E47" s="56" t="s">
        <v>382</v>
      </c>
      <c r="F47" s="85">
        <v>58.09</v>
      </c>
      <c r="G47" s="56" t="s">
        <v>112</v>
      </c>
      <c r="H47" s="56">
        <v>180</v>
      </c>
      <c r="I47" s="56" t="s">
        <v>2</v>
      </c>
      <c r="J47" s="77">
        <v>0.32</v>
      </c>
    </row>
    <row r="48" spans="2:10" x14ac:dyDescent="0.35">
      <c r="B48" s="59" t="s">
        <v>357</v>
      </c>
      <c r="C48" s="56" t="s">
        <v>400</v>
      </c>
      <c r="D48" s="56" t="s">
        <v>379</v>
      </c>
      <c r="E48" s="56" t="s">
        <v>377</v>
      </c>
      <c r="F48" s="85">
        <v>30.51</v>
      </c>
      <c r="G48" s="56" t="s">
        <v>112</v>
      </c>
      <c r="H48" s="56">
        <v>320</v>
      </c>
      <c r="I48" s="56" t="s">
        <v>2</v>
      </c>
      <c r="J48" s="77">
        <v>0.1</v>
      </c>
    </row>
    <row r="49" spans="2:10" x14ac:dyDescent="0.35">
      <c r="B49" s="59" t="s">
        <v>357</v>
      </c>
      <c r="C49" s="56" t="s">
        <v>401</v>
      </c>
      <c r="D49" s="56" t="s">
        <v>381</v>
      </c>
      <c r="E49" s="56" t="s">
        <v>382</v>
      </c>
      <c r="F49" s="85">
        <v>62.91</v>
      </c>
      <c r="G49" s="56" t="s">
        <v>112</v>
      </c>
      <c r="H49" s="56">
        <v>180</v>
      </c>
      <c r="I49" s="56" t="s">
        <v>2</v>
      </c>
      <c r="J49" s="77">
        <v>0.35</v>
      </c>
    </row>
    <row r="50" spans="2:10" x14ac:dyDescent="0.35">
      <c r="B50" s="59" t="s">
        <v>357</v>
      </c>
      <c r="C50" s="56" t="s">
        <v>402</v>
      </c>
      <c r="D50" s="56" t="s">
        <v>384</v>
      </c>
      <c r="E50" s="56" t="s">
        <v>388</v>
      </c>
      <c r="F50" s="74"/>
      <c r="G50" s="56" t="s">
        <v>112</v>
      </c>
      <c r="H50" s="56">
        <v>104</v>
      </c>
      <c r="I50" s="56" t="s">
        <v>2</v>
      </c>
      <c r="J50" s="102"/>
    </row>
    <row r="51" spans="2:10" x14ac:dyDescent="0.35">
      <c r="B51" s="59" t="s">
        <v>357</v>
      </c>
      <c r="C51" s="56" t="s">
        <v>403</v>
      </c>
      <c r="D51" s="56" t="s">
        <v>379</v>
      </c>
      <c r="E51" s="56" t="s">
        <v>377</v>
      </c>
      <c r="F51" s="85">
        <v>30.51</v>
      </c>
      <c r="G51" s="56" t="s">
        <v>112</v>
      </c>
      <c r="H51" s="56">
        <v>320</v>
      </c>
      <c r="I51" s="56" t="s">
        <v>2</v>
      </c>
      <c r="J51" s="77">
        <v>0.1</v>
      </c>
    </row>
    <row r="52" spans="2:10" x14ac:dyDescent="0.35">
      <c r="B52" s="59" t="s">
        <v>357</v>
      </c>
      <c r="C52" s="56" t="s">
        <v>404</v>
      </c>
      <c r="D52" s="56" t="s">
        <v>394</v>
      </c>
      <c r="E52" s="56" t="s">
        <v>405</v>
      </c>
      <c r="F52" s="85">
        <v>75.7</v>
      </c>
      <c r="G52" s="56" t="s">
        <v>112</v>
      </c>
      <c r="H52" s="56">
        <v>84</v>
      </c>
      <c r="I52" s="56" t="s">
        <v>2</v>
      </c>
      <c r="J52" s="77">
        <v>0.9</v>
      </c>
    </row>
    <row r="53" spans="2:10" x14ac:dyDescent="0.35">
      <c r="B53" s="59" t="s">
        <v>357</v>
      </c>
      <c r="C53" s="56" t="s">
        <v>406</v>
      </c>
      <c r="D53" s="56" t="s">
        <v>379</v>
      </c>
      <c r="E53" s="56" t="s">
        <v>377</v>
      </c>
      <c r="F53" s="85">
        <v>27.9</v>
      </c>
      <c r="G53" s="56" t="s">
        <v>112</v>
      </c>
      <c r="H53" s="56">
        <v>320</v>
      </c>
      <c r="I53" s="56" t="s">
        <v>2</v>
      </c>
      <c r="J53" s="77">
        <v>0.09</v>
      </c>
    </row>
    <row r="54" spans="2:10" x14ac:dyDescent="0.35">
      <c r="B54" s="59" t="s">
        <v>357</v>
      </c>
      <c r="C54" s="56" t="s">
        <v>407</v>
      </c>
      <c r="D54" s="56" t="s">
        <v>381</v>
      </c>
      <c r="E54" s="56" t="s">
        <v>382</v>
      </c>
      <c r="F54" s="85">
        <v>92.37</v>
      </c>
      <c r="G54" s="56" t="s">
        <v>112</v>
      </c>
      <c r="H54" s="56">
        <v>180</v>
      </c>
      <c r="I54" s="56" t="s">
        <v>2</v>
      </c>
      <c r="J54" s="77">
        <v>0.51</v>
      </c>
    </row>
    <row r="55" spans="2:10" x14ac:dyDescent="0.35">
      <c r="B55" s="59" t="s">
        <v>357</v>
      </c>
      <c r="C55" s="56" t="s">
        <v>408</v>
      </c>
      <c r="D55" s="56" t="s">
        <v>409</v>
      </c>
      <c r="E55" s="56" t="s">
        <v>410</v>
      </c>
      <c r="F55" s="74"/>
      <c r="G55" s="56" t="s">
        <v>112</v>
      </c>
      <c r="H55" s="56">
        <v>120</v>
      </c>
      <c r="I55" s="56" t="s">
        <v>2</v>
      </c>
      <c r="J55" s="102"/>
    </row>
    <row r="56" spans="2:10" x14ac:dyDescent="0.35">
      <c r="B56" s="59" t="s">
        <v>357</v>
      </c>
      <c r="C56" s="56" t="s">
        <v>411</v>
      </c>
      <c r="D56" s="56" t="s">
        <v>412</v>
      </c>
      <c r="E56" s="56" t="s">
        <v>212</v>
      </c>
      <c r="F56" s="85">
        <v>29.83</v>
      </c>
      <c r="G56" s="56" t="s">
        <v>112</v>
      </c>
      <c r="H56" s="56">
        <v>192</v>
      </c>
      <c r="I56" s="56" t="s">
        <v>119</v>
      </c>
      <c r="J56" s="77">
        <v>0.16</v>
      </c>
    </row>
    <row r="57" spans="2:10" x14ac:dyDescent="0.35">
      <c r="B57" s="59" t="s">
        <v>357</v>
      </c>
      <c r="C57" s="56" t="s">
        <v>413</v>
      </c>
      <c r="D57" s="56" t="s">
        <v>414</v>
      </c>
      <c r="E57" s="56" t="s">
        <v>415</v>
      </c>
      <c r="F57" s="85">
        <v>40.4</v>
      </c>
      <c r="G57" s="56" t="s">
        <v>112</v>
      </c>
      <c r="H57" s="56">
        <v>108</v>
      </c>
      <c r="I57" s="56" t="s">
        <v>2</v>
      </c>
      <c r="J57" s="77">
        <v>0.37</v>
      </c>
    </row>
    <row r="58" spans="2:10" x14ac:dyDescent="0.35">
      <c r="B58" s="59" t="s">
        <v>357</v>
      </c>
      <c r="C58" s="56" t="s">
        <v>416</v>
      </c>
      <c r="D58" s="56" t="s">
        <v>417</v>
      </c>
      <c r="E58" s="56" t="s">
        <v>418</v>
      </c>
      <c r="F58" s="85">
        <v>29.65</v>
      </c>
      <c r="G58" s="56" t="s">
        <v>112</v>
      </c>
      <c r="H58" s="56">
        <v>84</v>
      </c>
      <c r="I58" s="56" t="s">
        <v>2</v>
      </c>
      <c r="J58" s="77">
        <v>0.35</v>
      </c>
    </row>
    <row r="59" spans="2:10" x14ac:dyDescent="0.35">
      <c r="B59" s="59" t="s">
        <v>357</v>
      </c>
      <c r="C59" s="56" t="s">
        <v>419</v>
      </c>
      <c r="D59" s="56" t="s">
        <v>420</v>
      </c>
      <c r="E59" s="56" t="s">
        <v>421</v>
      </c>
      <c r="F59" s="85">
        <v>40</v>
      </c>
      <c r="G59" s="56" t="s">
        <v>112</v>
      </c>
      <c r="H59" s="56">
        <v>48</v>
      </c>
      <c r="I59" s="56" t="s">
        <v>2</v>
      </c>
      <c r="J59" s="77">
        <v>0.83</v>
      </c>
    </row>
    <row r="60" spans="2:10" x14ac:dyDescent="0.35">
      <c r="B60" s="59" t="s">
        <v>357</v>
      </c>
      <c r="C60" s="56" t="s">
        <v>422</v>
      </c>
      <c r="D60" s="56" t="s">
        <v>423</v>
      </c>
      <c r="E60" s="56" t="s">
        <v>424</v>
      </c>
      <c r="F60" s="85">
        <v>86.41</v>
      </c>
      <c r="G60" s="56" t="s">
        <v>112</v>
      </c>
      <c r="H60" s="56">
        <v>300</v>
      </c>
      <c r="I60" s="56" t="s">
        <v>2</v>
      </c>
      <c r="J60" s="77">
        <v>0.28999999999999998</v>
      </c>
    </row>
    <row r="61" spans="2:10" x14ac:dyDescent="0.35">
      <c r="B61" s="59" t="s">
        <v>357</v>
      </c>
      <c r="C61" s="56" t="s">
        <v>425</v>
      </c>
      <c r="D61" s="56" t="s">
        <v>426</v>
      </c>
      <c r="E61" s="56" t="s">
        <v>427</v>
      </c>
      <c r="F61" s="85">
        <v>22.7</v>
      </c>
      <c r="G61" s="56" t="s">
        <v>112</v>
      </c>
      <c r="H61" s="56">
        <v>20</v>
      </c>
      <c r="I61" s="56" t="s">
        <v>2</v>
      </c>
      <c r="J61" s="77">
        <v>1.1399999999999999</v>
      </c>
    </row>
    <row r="62" spans="2:10" x14ac:dyDescent="0.35">
      <c r="B62" s="59" t="s">
        <v>357</v>
      </c>
      <c r="C62" s="56" t="s">
        <v>428</v>
      </c>
      <c r="D62" s="56" t="s">
        <v>429</v>
      </c>
      <c r="E62" s="56" t="s">
        <v>430</v>
      </c>
      <c r="F62" s="85">
        <v>43.8</v>
      </c>
      <c r="G62" s="56" t="s">
        <v>112</v>
      </c>
      <c r="H62" s="56">
        <v>240</v>
      </c>
      <c r="I62" s="56" t="s">
        <v>2</v>
      </c>
      <c r="J62" s="77">
        <v>0.18</v>
      </c>
    </row>
    <row r="63" spans="2:10" x14ac:dyDescent="0.35">
      <c r="B63" s="59" t="s">
        <v>357</v>
      </c>
      <c r="C63" s="56" t="s">
        <v>431</v>
      </c>
      <c r="D63" s="56" t="s">
        <v>330</v>
      </c>
      <c r="E63" s="56" t="s">
        <v>432</v>
      </c>
      <c r="F63" s="85">
        <v>34.81</v>
      </c>
      <c r="G63" s="56" t="s">
        <v>112</v>
      </c>
      <c r="H63" s="56">
        <v>96</v>
      </c>
      <c r="I63" s="56" t="s">
        <v>2</v>
      </c>
      <c r="J63" s="77">
        <v>0.36</v>
      </c>
    </row>
    <row r="64" spans="2:10" ht="15" thickBot="1" x14ac:dyDescent="0.4">
      <c r="B64" s="60" t="s">
        <v>357</v>
      </c>
      <c r="C64" s="61" t="s">
        <v>433</v>
      </c>
      <c r="D64" s="61" t="s">
        <v>330</v>
      </c>
      <c r="E64" s="61" t="s">
        <v>434</v>
      </c>
      <c r="F64" s="87">
        <v>33.200000000000003</v>
      </c>
      <c r="G64" s="61" t="s">
        <v>112</v>
      </c>
      <c r="H64" s="61">
        <v>60</v>
      </c>
      <c r="I64" s="61" t="s">
        <v>2</v>
      </c>
      <c r="J64" s="100">
        <v>0.55000000000000004</v>
      </c>
    </row>
    <row r="65" spans="2:10" x14ac:dyDescent="0.35">
      <c r="B65" s="57" t="s">
        <v>435</v>
      </c>
      <c r="C65" s="58" t="s">
        <v>436</v>
      </c>
      <c r="D65" s="58" t="s">
        <v>437</v>
      </c>
      <c r="E65" s="58" t="s">
        <v>236</v>
      </c>
      <c r="F65" s="84">
        <v>29.6</v>
      </c>
      <c r="G65" s="45" t="s">
        <v>112</v>
      </c>
      <c r="H65" s="58">
        <v>160</v>
      </c>
      <c r="I65" s="58" t="s">
        <v>119</v>
      </c>
      <c r="J65" s="76">
        <v>0.19</v>
      </c>
    </row>
    <row r="66" spans="2:10" x14ac:dyDescent="0.35">
      <c r="B66" s="59" t="s">
        <v>435</v>
      </c>
      <c r="C66" s="56" t="s">
        <v>438</v>
      </c>
      <c r="D66" s="56" t="s">
        <v>437</v>
      </c>
      <c r="E66" s="56" t="s">
        <v>236</v>
      </c>
      <c r="F66" s="85">
        <v>20.67</v>
      </c>
      <c r="G66" s="56" t="s">
        <v>112</v>
      </c>
      <c r="H66" s="56">
        <v>160</v>
      </c>
      <c r="I66" s="56" t="s">
        <v>119</v>
      </c>
      <c r="J66" s="77">
        <v>0.13</v>
      </c>
    </row>
    <row r="67" spans="2:10" x14ac:dyDescent="0.35">
      <c r="B67" s="59" t="s">
        <v>435</v>
      </c>
      <c r="C67" s="56" t="s">
        <v>439</v>
      </c>
      <c r="D67" s="56" t="s">
        <v>440</v>
      </c>
      <c r="E67" s="56" t="s">
        <v>251</v>
      </c>
      <c r="F67" s="85">
        <v>50.44</v>
      </c>
      <c r="G67" s="56" t="s">
        <v>112</v>
      </c>
      <c r="H67" s="56"/>
      <c r="I67" s="56"/>
      <c r="J67" s="102"/>
    </row>
    <row r="68" spans="2:10" x14ac:dyDescent="0.35">
      <c r="B68" s="59" t="s">
        <v>435</v>
      </c>
      <c r="C68" s="56" t="s">
        <v>441</v>
      </c>
      <c r="D68" s="56" t="s">
        <v>437</v>
      </c>
      <c r="E68" s="56" t="s">
        <v>442</v>
      </c>
      <c r="F68" s="85">
        <v>19.45</v>
      </c>
      <c r="G68" s="56" t="s">
        <v>112</v>
      </c>
      <c r="H68" s="56">
        <v>24</v>
      </c>
      <c r="I68" s="56" t="s">
        <v>2</v>
      </c>
      <c r="J68" s="77">
        <v>0.81</v>
      </c>
    </row>
    <row r="69" spans="2:10" x14ac:dyDescent="0.35">
      <c r="B69" s="59" t="s">
        <v>435</v>
      </c>
      <c r="C69" s="56" t="s">
        <v>443</v>
      </c>
      <c r="D69" s="56" t="s">
        <v>376</v>
      </c>
      <c r="E69" s="56" t="s">
        <v>444</v>
      </c>
      <c r="F69" s="85">
        <v>31.55</v>
      </c>
      <c r="G69" s="56" t="s">
        <v>112</v>
      </c>
      <c r="H69" s="56">
        <v>320</v>
      </c>
      <c r="I69" s="56" t="s">
        <v>119</v>
      </c>
      <c r="J69" s="77">
        <v>0.1</v>
      </c>
    </row>
    <row r="70" spans="2:10" x14ac:dyDescent="0.35">
      <c r="B70" s="59" t="s">
        <v>435</v>
      </c>
      <c r="C70" s="56" t="s">
        <v>445</v>
      </c>
      <c r="D70" s="56" t="s">
        <v>446</v>
      </c>
      <c r="E70" s="56" t="s">
        <v>236</v>
      </c>
      <c r="F70" s="85">
        <v>21.87</v>
      </c>
      <c r="G70" s="56" t="s">
        <v>112</v>
      </c>
      <c r="H70" s="56">
        <v>160</v>
      </c>
      <c r="I70" s="56" t="s">
        <v>119</v>
      </c>
      <c r="J70" s="77">
        <v>0.14000000000000001</v>
      </c>
    </row>
    <row r="71" spans="2:10" x14ac:dyDescent="0.35">
      <c r="B71" s="59" t="s">
        <v>435</v>
      </c>
      <c r="C71" s="56" t="s">
        <v>447</v>
      </c>
      <c r="D71" s="56" t="s">
        <v>437</v>
      </c>
      <c r="E71" s="56" t="s">
        <v>236</v>
      </c>
      <c r="F71" s="85">
        <v>31.9</v>
      </c>
      <c r="G71" s="56" t="s">
        <v>112</v>
      </c>
      <c r="H71" s="56">
        <v>160</v>
      </c>
      <c r="I71" s="56" t="s">
        <v>119</v>
      </c>
      <c r="J71" s="77">
        <v>0.2</v>
      </c>
    </row>
    <row r="72" spans="2:10" x14ac:dyDescent="0.35">
      <c r="B72" s="59" t="s">
        <v>435</v>
      </c>
      <c r="C72" s="56" t="s">
        <v>448</v>
      </c>
      <c r="D72" s="56" t="s">
        <v>376</v>
      </c>
      <c r="E72" s="56" t="s">
        <v>444</v>
      </c>
      <c r="F72" s="85">
        <v>52.89</v>
      </c>
      <c r="G72" s="56" t="s">
        <v>112</v>
      </c>
      <c r="H72" s="56">
        <v>320</v>
      </c>
      <c r="I72" s="56" t="s">
        <v>119</v>
      </c>
      <c r="J72" s="77">
        <v>0.17</v>
      </c>
    </row>
    <row r="73" spans="2:10" ht="15" thickBot="1" x14ac:dyDescent="0.4">
      <c r="B73" s="60" t="s">
        <v>435</v>
      </c>
      <c r="C73" s="61" t="s">
        <v>449</v>
      </c>
      <c r="D73" s="61" t="s">
        <v>376</v>
      </c>
      <c r="E73" s="61" t="s">
        <v>444</v>
      </c>
      <c r="F73" s="87">
        <v>31.4</v>
      </c>
      <c r="G73" s="61" t="s">
        <v>112</v>
      </c>
      <c r="H73" s="61">
        <v>320</v>
      </c>
      <c r="I73" s="61" t="s">
        <v>119</v>
      </c>
      <c r="J73" s="100">
        <v>0.1</v>
      </c>
    </row>
    <row r="74" spans="2:10" x14ac:dyDescent="0.35">
      <c r="B74" s="57" t="s">
        <v>450</v>
      </c>
      <c r="C74" s="58" t="s">
        <v>451</v>
      </c>
      <c r="D74" s="58" t="s">
        <v>437</v>
      </c>
      <c r="E74" s="58" t="s">
        <v>452</v>
      </c>
      <c r="F74" s="84">
        <v>35.92</v>
      </c>
      <c r="G74" s="45" t="s">
        <v>112</v>
      </c>
      <c r="H74" s="58">
        <v>384</v>
      </c>
      <c r="I74" s="58" t="s">
        <v>119</v>
      </c>
      <c r="J74" s="76">
        <v>0.09</v>
      </c>
    </row>
    <row r="75" spans="2:10" x14ac:dyDescent="0.35">
      <c r="B75" s="59" t="s">
        <v>450</v>
      </c>
      <c r="C75" s="56" t="s">
        <v>453</v>
      </c>
      <c r="D75" s="56" t="s">
        <v>454</v>
      </c>
      <c r="E75" s="56" t="s">
        <v>455</v>
      </c>
      <c r="F75" s="85">
        <v>30.48</v>
      </c>
      <c r="G75" s="56" t="s">
        <v>112</v>
      </c>
      <c r="H75" s="56">
        <v>352</v>
      </c>
      <c r="I75" s="56" t="s">
        <v>119</v>
      </c>
      <c r="J75" s="77">
        <v>0.09</v>
      </c>
    </row>
    <row r="76" spans="2:10" x14ac:dyDescent="0.35">
      <c r="B76" s="59" t="s">
        <v>450</v>
      </c>
      <c r="C76" s="56" t="s">
        <v>456</v>
      </c>
      <c r="D76" s="56" t="s">
        <v>437</v>
      </c>
      <c r="E76" s="56" t="s">
        <v>457</v>
      </c>
      <c r="F76" s="85">
        <v>28.29</v>
      </c>
      <c r="G76" s="56" t="s">
        <v>112</v>
      </c>
      <c r="H76" s="56">
        <v>384</v>
      </c>
      <c r="I76" s="56" t="s">
        <v>119</v>
      </c>
      <c r="J76" s="77">
        <v>7.0000000000000007E-2</v>
      </c>
    </row>
    <row r="77" spans="2:10" x14ac:dyDescent="0.35">
      <c r="B77" s="59" t="s">
        <v>450</v>
      </c>
      <c r="C77" s="56" t="s">
        <v>458</v>
      </c>
      <c r="D77" s="56" t="s">
        <v>376</v>
      </c>
      <c r="E77" s="56" t="s">
        <v>444</v>
      </c>
      <c r="F77" s="85">
        <v>11.3</v>
      </c>
      <c r="G77" s="56" t="s">
        <v>112</v>
      </c>
      <c r="H77" s="56">
        <v>320</v>
      </c>
      <c r="I77" s="56" t="s">
        <v>119</v>
      </c>
      <c r="J77" s="77">
        <v>0.04</v>
      </c>
    </row>
    <row r="78" spans="2:10" x14ac:dyDescent="0.35">
      <c r="B78" s="59" t="s">
        <v>450</v>
      </c>
      <c r="C78" s="56" t="s">
        <v>459</v>
      </c>
      <c r="D78" s="56" t="s">
        <v>437</v>
      </c>
      <c r="E78" s="56" t="s">
        <v>460</v>
      </c>
      <c r="F78" s="85">
        <v>18.239999999999998</v>
      </c>
      <c r="G78" s="56" t="s">
        <v>112</v>
      </c>
      <c r="H78" s="56">
        <v>96</v>
      </c>
      <c r="I78" s="56" t="s">
        <v>2</v>
      </c>
      <c r="J78" s="77">
        <v>0.19</v>
      </c>
    </row>
    <row r="79" spans="2:10" x14ac:dyDescent="0.35">
      <c r="B79" s="59" t="s">
        <v>450</v>
      </c>
      <c r="C79" s="56" t="s">
        <v>36</v>
      </c>
      <c r="D79" s="56" t="s">
        <v>376</v>
      </c>
      <c r="E79" s="56" t="s">
        <v>444</v>
      </c>
      <c r="F79" s="85">
        <v>15.2</v>
      </c>
      <c r="G79" s="56" t="s">
        <v>112</v>
      </c>
      <c r="H79" s="56">
        <v>320</v>
      </c>
      <c r="I79" s="56" t="s">
        <v>119</v>
      </c>
      <c r="J79" s="77">
        <v>0.05</v>
      </c>
    </row>
    <row r="80" spans="2:10" x14ac:dyDescent="0.35">
      <c r="B80" s="59" t="s">
        <v>450</v>
      </c>
      <c r="C80" s="56" t="s">
        <v>461</v>
      </c>
      <c r="D80" s="56" t="s">
        <v>437</v>
      </c>
      <c r="E80" s="56" t="s">
        <v>462</v>
      </c>
      <c r="F80" s="85">
        <v>46.83</v>
      </c>
      <c r="G80" s="56" t="s">
        <v>112</v>
      </c>
      <c r="H80" s="56">
        <v>576</v>
      </c>
      <c r="I80" s="56" t="s">
        <v>119</v>
      </c>
      <c r="J80" s="77">
        <v>0.08</v>
      </c>
    </row>
    <row r="81" spans="2:10" x14ac:dyDescent="0.35">
      <c r="B81" s="59" t="s">
        <v>450</v>
      </c>
      <c r="C81" s="56" t="s">
        <v>463</v>
      </c>
      <c r="D81" s="56" t="s">
        <v>376</v>
      </c>
      <c r="E81" s="56" t="s">
        <v>444</v>
      </c>
      <c r="F81" s="85">
        <v>17.47</v>
      </c>
      <c r="G81" s="56" t="s">
        <v>112</v>
      </c>
      <c r="H81" s="56">
        <v>320</v>
      </c>
      <c r="I81" s="56" t="s">
        <v>119</v>
      </c>
      <c r="J81" s="77">
        <v>0.05</v>
      </c>
    </row>
    <row r="82" spans="2:10" x14ac:dyDescent="0.35">
      <c r="B82" s="59" t="s">
        <v>450</v>
      </c>
      <c r="C82" s="56" t="s">
        <v>464</v>
      </c>
      <c r="D82" s="56" t="s">
        <v>437</v>
      </c>
      <c r="E82" s="56" t="s">
        <v>457</v>
      </c>
      <c r="F82" s="85">
        <v>36.22</v>
      </c>
      <c r="G82" s="56" t="s">
        <v>112</v>
      </c>
      <c r="H82" s="56">
        <v>384</v>
      </c>
      <c r="I82" s="56" t="s">
        <v>119</v>
      </c>
      <c r="J82" s="77">
        <v>0.09</v>
      </c>
    </row>
    <row r="83" spans="2:10" x14ac:dyDescent="0.35">
      <c r="B83" s="59" t="s">
        <v>450</v>
      </c>
      <c r="C83" s="56" t="s">
        <v>465</v>
      </c>
      <c r="D83" s="56" t="s">
        <v>437</v>
      </c>
      <c r="E83" s="56" t="s">
        <v>466</v>
      </c>
      <c r="F83" s="85">
        <v>30.97</v>
      </c>
      <c r="G83" s="56" t="s">
        <v>112</v>
      </c>
      <c r="H83" s="56">
        <v>240</v>
      </c>
      <c r="I83" s="56" t="s">
        <v>119</v>
      </c>
      <c r="J83" s="77">
        <v>0.13</v>
      </c>
    </row>
    <row r="84" spans="2:10" ht="15" thickBot="1" x14ac:dyDescent="0.4">
      <c r="B84" s="62" t="s">
        <v>450</v>
      </c>
      <c r="C84" s="63" t="s">
        <v>467</v>
      </c>
      <c r="D84" s="63" t="s">
        <v>437</v>
      </c>
      <c r="E84" s="63" t="s">
        <v>462</v>
      </c>
      <c r="F84" s="86">
        <v>39.82</v>
      </c>
      <c r="G84" s="61" t="s">
        <v>112</v>
      </c>
      <c r="H84" s="63">
        <v>576</v>
      </c>
      <c r="I84" s="63" t="s">
        <v>119</v>
      </c>
      <c r="J84" s="101">
        <v>7.0000000000000007E-2</v>
      </c>
    </row>
    <row r="85" spans="2:10" x14ac:dyDescent="0.35">
      <c r="B85" s="57" t="s">
        <v>468</v>
      </c>
      <c r="C85" s="58" t="s">
        <v>469</v>
      </c>
      <c r="D85" s="58" t="s">
        <v>470</v>
      </c>
      <c r="E85" s="58" t="s">
        <v>471</v>
      </c>
      <c r="F85" s="84">
        <v>31</v>
      </c>
      <c r="G85" s="45" t="s">
        <v>112</v>
      </c>
      <c r="H85" s="58">
        <v>576</v>
      </c>
      <c r="I85" s="58" t="s">
        <v>119</v>
      </c>
      <c r="J85" s="76">
        <v>0.05</v>
      </c>
    </row>
    <row r="86" spans="2:10" x14ac:dyDescent="0.35">
      <c r="B86" s="59" t="s">
        <v>468</v>
      </c>
      <c r="C86" s="56" t="s">
        <v>472</v>
      </c>
      <c r="D86" s="56" t="s">
        <v>473</v>
      </c>
      <c r="E86" s="56" t="s">
        <v>220</v>
      </c>
      <c r="F86" s="85">
        <v>48.62</v>
      </c>
      <c r="G86" s="56" t="s">
        <v>112</v>
      </c>
      <c r="H86" s="56">
        <v>480</v>
      </c>
      <c r="I86" s="56" t="s">
        <v>119</v>
      </c>
      <c r="J86" s="77">
        <v>0.1</v>
      </c>
    </row>
    <row r="87" spans="2:10" x14ac:dyDescent="0.35">
      <c r="B87" s="59" t="s">
        <v>468</v>
      </c>
      <c r="C87" s="56" t="s">
        <v>474</v>
      </c>
      <c r="D87" s="56" t="s">
        <v>475</v>
      </c>
      <c r="E87" s="56" t="s">
        <v>220</v>
      </c>
      <c r="F87" s="85">
        <v>30.48</v>
      </c>
      <c r="G87" s="56" t="s">
        <v>112</v>
      </c>
      <c r="H87" s="56">
        <v>480</v>
      </c>
      <c r="I87" s="56" t="s">
        <v>119</v>
      </c>
      <c r="J87" s="77">
        <v>0.06</v>
      </c>
    </row>
    <row r="88" spans="2:10" x14ac:dyDescent="0.35">
      <c r="B88" s="59" t="s">
        <v>468</v>
      </c>
      <c r="C88" s="56" t="s">
        <v>476</v>
      </c>
      <c r="D88" s="56" t="s">
        <v>477</v>
      </c>
      <c r="E88" s="56" t="s">
        <v>220</v>
      </c>
      <c r="F88" s="85">
        <v>29.49</v>
      </c>
      <c r="G88" s="56" t="s">
        <v>112</v>
      </c>
      <c r="H88" s="56">
        <v>480</v>
      </c>
      <c r="I88" s="56" t="s">
        <v>119</v>
      </c>
      <c r="J88" s="77">
        <v>0.06</v>
      </c>
    </row>
    <row r="89" spans="2:10" x14ac:dyDescent="0.35">
      <c r="B89" s="59" t="s">
        <v>468</v>
      </c>
      <c r="C89" s="56" t="s">
        <v>478</v>
      </c>
      <c r="D89" s="56" t="s">
        <v>437</v>
      </c>
      <c r="E89" s="56" t="s">
        <v>220</v>
      </c>
      <c r="F89" s="85">
        <v>33.979999999999997</v>
      </c>
      <c r="G89" s="56" t="s">
        <v>112</v>
      </c>
      <c r="H89" s="56">
        <v>480</v>
      </c>
      <c r="I89" s="56" t="s">
        <v>119</v>
      </c>
      <c r="J89" s="77">
        <v>7.0000000000000007E-2</v>
      </c>
    </row>
    <row r="90" spans="2:10" x14ac:dyDescent="0.35">
      <c r="B90" s="59" t="s">
        <v>468</v>
      </c>
      <c r="C90" s="56" t="s">
        <v>479</v>
      </c>
      <c r="D90" s="56" t="s">
        <v>480</v>
      </c>
      <c r="E90" s="56" t="s">
        <v>452</v>
      </c>
      <c r="F90" s="85">
        <v>26.81</v>
      </c>
      <c r="G90" s="56" t="s">
        <v>112</v>
      </c>
      <c r="H90" s="56">
        <v>384</v>
      </c>
      <c r="I90" s="56" t="s">
        <v>119</v>
      </c>
      <c r="J90" s="77">
        <v>7.0000000000000007E-2</v>
      </c>
    </row>
    <row r="91" spans="2:10" x14ac:dyDescent="0.35">
      <c r="B91" s="59" t="s">
        <v>468</v>
      </c>
      <c r="C91" s="56" t="s">
        <v>481</v>
      </c>
      <c r="D91" s="56" t="s">
        <v>437</v>
      </c>
      <c r="E91" s="56" t="s">
        <v>482</v>
      </c>
      <c r="F91" s="85">
        <v>24.15</v>
      </c>
      <c r="G91" s="56" t="s">
        <v>112</v>
      </c>
      <c r="H91" s="56">
        <v>240</v>
      </c>
      <c r="I91" s="56" t="s">
        <v>119</v>
      </c>
      <c r="J91" s="77">
        <v>0.1</v>
      </c>
    </row>
    <row r="92" spans="2:10" x14ac:dyDescent="0.35">
      <c r="B92" s="59" t="s">
        <v>468</v>
      </c>
      <c r="C92" s="56" t="s">
        <v>483</v>
      </c>
      <c r="D92" s="56" t="s">
        <v>484</v>
      </c>
      <c r="E92" s="56" t="s">
        <v>466</v>
      </c>
      <c r="F92" s="85">
        <v>22.79</v>
      </c>
      <c r="G92" s="56" t="s">
        <v>112</v>
      </c>
      <c r="H92" s="56">
        <v>240</v>
      </c>
      <c r="I92" s="56" t="s">
        <v>119</v>
      </c>
      <c r="J92" s="77">
        <v>0.09</v>
      </c>
    </row>
    <row r="93" spans="2:10" x14ac:dyDescent="0.35">
      <c r="B93" s="59" t="s">
        <v>468</v>
      </c>
      <c r="C93" s="56" t="s">
        <v>485</v>
      </c>
      <c r="D93" s="56" t="s">
        <v>437</v>
      </c>
      <c r="E93" s="56" t="s">
        <v>186</v>
      </c>
      <c r="F93" s="85">
        <v>26.65</v>
      </c>
      <c r="G93" s="56" t="s">
        <v>112</v>
      </c>
      <c r="H93" s="56">
        <v>240</v>
      </c>
      <c r="I93" s="56" t="s">
        <v>119</v>
      </c>
      <c r="J93" s="77">
        <v>0.11</v>
      </c>
    </row>
    <row r="94" spans="2:10" x14ac:dyDescent="0.35">
      <c r="B94" s="59" t="s">
        <v>468</v>
      </c>
      <c r="C94" s="56" t="s">
        <v>486</v>
      </c>
      <c r="D94" s="56" t="s">
        <v>437</v>
      </c>
      <c r="E94" s="56" t="s">
        <v>186</v>
      </c>
      <c r="F94" s="85">
        <v>30.14</v>
      </c>
      <c r="G94" s="56" t="s">
        <v>112</v>
      </c>
      <c r="H94" s="56">
        <v>240</v>
      </c>
      <c r="I94" s="56" t="s">
        <v>119</v>
      </c>
      <c r="J94" s="77">
        <v>0.13</v>
      </c>
    </row>
    <row r="95" spans="2:10" x14ac:dyDescent="0.35">
      <c r="B95" s="59" t="s">
        <v>468</v>
      </c>
      <c r="C95" s="56" t="s">
        <v>487</v>
      </c>
      <c r="D95" s="56" t="s">
        <v>437</v>
      </c>
      <c r="E95" s="56" t="s">
        <v>452</v>
      </c>
      <c r="F95" s="85">
        <v>33.58</v>
      </c>
      <c r="G95" s="56" t="s">
        <v>112</v>
      </c>
      <c r="H95" s="56">
        <v>384</v>
      </c>
      <c r="I95" s="56" t="s">
        <v>119</v>
      </c>
      <c r="J95" s="77">
        <v>0.09</v>
      </c>
    </row>
    <row r="96" spans="2:10" x14ac:dyDescent="0.35">
      <c r="B96" s="59" t="s">
        <v>468</v>
      </c>
      <c r="C96" s="56" t="s">
        <v>488</v>
      </c>
      <c r="D96" s="56" t="s">
        <v>489</v>
      </c>
      <c r="E96" s="56" t="s">
        <v>490</v>
      </c>
      <c r="F96" s="85">
        <v>22.84</v>
      </c>
      <c r="G96" s="56" t="s">
        <v>112</v>
      </c>
      <c r="H96" s="56">
        <v>270</v>
      </c>
      <c r="I96" s="56" t="s">
        <v>119</v>
      </c>
      <c r="J96" s="77">
        <v>0.08</v>
      </c>
    </row>
    <row r="97" spans="2:10" x14ac:dyDescent="0.35">
      <c r="B97" s="59" t="s">
        <v>468</v>
      </c>
      <c r="C97" s="56" t="s">
        <v>491</v>
      </c>
      <c r="D97" s="56" t="s">
        <v>376</v>
      </c>
      <c r="E97" s="56" t="s">
        <v>492</v>
      </c>
      <c r="F97" s="85">
        <v>16.989999999999998</v>
      </c>
      <c r="G97" s="56" t="s">
        <v>112</v>
      </c>
      <c r="H97" s="56">
        <v>288</v>
      </c>
      <c r="I97" s="56" t="s">
        <v>119</v>
      </c>
      <c r="J97" s="77">
        <v>0.06</v>
      </c>
    </row>
    <row r="98" spans="2:10" x14ac:dyDescent="0.35">
      <c r="B98" s="59" t="s">
        <v>468</v>
      </c>
      <c r="C98" s="56" t="s">
        <v>493</v>
      </c>
      <c r="D98" s="56" t="s">
        <v>437</v>
      </c>
      <c r="E98" s="56" t="s">
        <v>220</v>
      </c>
      <c r="F98" s="85">
        <v>31.98</v>
      </c>
      <c r="G98" s="56" t="s">
        <v>112</v>
      </c>
      <c r="H98" s="56">
        <v>480</v>
      </c>
      <c r="I98" s="56" t="s">
        <v>119</v>
      </c>
      <c r="J98" s="77">
        <v>7.0000000000000007E-2</v>
      </c>
    </row>
    <row r="99" spans="2:10" x14ac:dyDescent="0.35">
      <c r="B99" s="59" t="s">
        <v>468</v>
      </c>
      <c r="C99" s="56" t="s">
        <v>494</v>
      </c>
      <c r="D99" s="56" t="s">
        <v>437</v>
      </c>
      <c r="E99" s="56" t="s">
        <v>466</v>
      </c>
      <c r="F99" s="85">
        <v>26.48</v>
      </c>
      <c r="G99" s="56" t="s">
        <v>112</v>
      </c>
      <c r="H99" s="56">
        <v>240</v>
      </c>
      <c r="I99" s="56" t="s">
        <v>119</v>
      </c>
      <c r="J99" s="77">
        <v>0.11</v>
      </c>
    </row>
    <row r="100" spans="2:10" x14ac:dyDescent="0.35">
      <c r="B100" s="59" t="s">
        <v>468</v>
      </c>
      <c r="C100" s="56" t="s">
        <v>495</v>
      </c>
      <c r="D100" s="56" t="s">
        <v>496</v>
      </c>
      <c r="E100" s="56" t="s">
        <v>220</v>
      </c>
      <c r="F100" s="85">
        <v>21.74</v>
      </c>
      <c r="G100" s="56" t="s">
        <v>112</v>
      </c>
      <c r="H100" s="56">
        <v>480</v>
      </c>
      <c r="I100" s="56" t="s">
        <v>119</v>
      </c>
      <c r="J100" s="77">
        <v>0.05</v>
      </c>
    </row>
    <row r="101" spans="2:10" ht="15" thickBot="1" x14ac:dyDescent="0.4">
      <c r="B101" s="60" t="s">
        <v>468</v>
      </c>
      <c r="C101" s="61" t="s">
        <v>497</v>
      </c>
      <c r="D101" s="61" t="s">
        <v>498</v>
      </c>
      <c r="E101" s="61" t="s">
        <v>499</v>
      </c>
      <c r="F101" s="87">
        <v>22.1</v>
      </c>
      <c r="G101" s="61" t="s">
        <v>112</v>
      </c>
      <c r="H101" s="61">
        <v>320</v>
      </c>
      <c r="I101" s="61" t="s">
        <v>119</v>
      </c>
      <c r="J101" s="100">
        <v>7.0000000000000007E-2</v>
      </c>
    </row>
    <row r="102" spans="2:10" ht="15" thickBot="1" x14ac:dyDescent="0.4">
      <c r="B102" s="59" t="s">
        <v>500</v>
      </c>
      <c r="C102" s="56" t="s">
        <v>501</v>
      </c>
      <c r="D102" s="56" t="s">
        <v>502</v>
      </c>
      <c r="E102" s="56" t="s">
        <v>212</v>
      </c>
      <c r="F102" s="56">
        <v>34.21</v>
      </c>
      <c r="G102" s="56" t="s">
        <v>112</v>
      </c>
      <c r="H102" s="56">
        <v>192</v>
      </c>
      <c r="I102" s="56" t="s">
        <v>119</v>
      </c>
      <c r="J102" s="76">
        <f t="shared" ref="J102:J118" si="0">F102/H102</f>
        <v>0.17817708333333335</v>
      </c>
    </row>
    <row r="103" spans="2:10" ht="15" thickBot="1" x14ac:dyDescent="0.4">
      <c r="B103" s="59" t="s">
        <v>500</v>
      </c>
      <c r="C103" s="56" t="s">
        <v>503</v>
      </c>
      <c r="D103" s="56" t="s">
        <v>504</v>
      </c>
      <c r="E103" s="56" t="s">
        <v>236</v>
      </c>
      <c r="F103" s="56">
        <v>37.03</v>
      </c>
      <c r="G103" s="56" t="s">
        <v>112</v>
      </c>
      <c r="H103" s="56">
        <v>160</v>
      </c>
      <c r="I103" s="56" t="s">
        <v>119</v>
      </c>
      <c r="J103" s="76">
        <f t="shared" si="0"/>
        <v>0.23143750000000002</v>
      </c>
    </row>
    <row r="104" spans="2:10" ht="15" thickBot="1" x14ac:dyDescent="0.4">
      <c r="B104" s="59" t="s">
        <v>500</v>
      </c>
      <c r="C104" s="56" t="s">
        <v>505</v>
      </c>
      <c r="D104" s="56" t="s">
        <v>506</v>
      </c>
      <c r="E104" s="56" t="s">
        <v>507</v>
      </c>
      <c r="F104" s="56">
        <v>47.59</v>
      </c>
      <c r="G104" s="56" t="s">
        <v>112</v>
      </c>
      <c r="H104" s="56">
        <v>480</v>
      </c>
      <c r="I104" s="56" t="s">
        <v>119</v>
      </c>
      <c r="J104" s="76">
        <f t="shared" si="0"/>
        <v>9.9145833333333336E-2</v>
      </c>
    </row>
    <row r="105" spans="2:10" ht="15" thickBot="1" x14ac:dyDescent="0.4">
      <c r="B105" s="59" t="s">
        <v>500</v>
      </c>
      <c r="C105" s="56" t="s">
        <v>508</v>
      </c>
      <c r="D105" s="56" t="s">
        <v>509</v>
      </c>
      <c r="E105" s="56" t="s">
        <v>510</v>
      </c>
      <c r="F105" s="56">
        <v>50.23</v>
      </c>
      <c r="G105" s="56" t="s">
        <v>112</v>
      </c>
      <c r="H105" s="56">
        <v>440</v>
      </c>
      <c r="I105" s="56" t="s">
        <v>119</v>
      </c>
      <c r="J105" s="76">
        <f t="shared" si="0"/>
        <v>0.1141590909090909</v>
      </c>
    </row>
    <row r="106" spans="2:10" ht="15" thickBot="1" x14ac:dyDescent="0.4">
      <c r="B106" s="59" t="s">
        <v>500</v>
      </c>
      <c r="C106" s="56" t="s">
        <v>511</v>
      </c>
      <c r="D106" s="56" t="s">
        <v>512</v>
      </c>
      <c r="E106" s="56" t="s">
        <v>513</v>
      </c>
      <c r="F106" s="56" t="s">
        <v>213</v>
      </c>
      <c r="G106" s="56"/>
      <c r="H106" s="56">
        <v>528</v>
      </c>
      <c r="I106" s="56" t="s">
        <v>119</v>
      </c>
      <c r="J106" s="98" t="e">
        <f t="shared" si="0"/>
        <v>#VALUE!</v>
      </c>
    </row>
    <row r="107" spans="2:10" ht="15" thickBot="1" x14ac:dyDescent="0.4">
      <c r="B107" s="59" t="s">
        <v>500</v>
      </c>
      <c r="C107" s="56" t="s">
        <v>514</v>
      </c>
      <c r="D107" s="56" t="s">
        <v>515</v>
      </c>
      <c r="E107" s="56" t="s">
        <v>507</v>
      </c>
      <c r="F107" s="56">
        <v>48.02</v>
      </c>
      <c r="G107" s="56" t="s">
        <v>112</v>
      </c>
      <c r="H107" s="56">
        <v>480</v>
      </c>
      <c r="I107" s="56" t="s">
        <v>119</v>
      </c>
      <c r="J107" s="76">
        <f t="shared" si="0"/>
        <v>0.10004166666666667</v>
      </c>
    </row>
    <row r="108" spans="2:10" ht="15" thickBot="1" x14ac:dyDescent="0.4">
      <c r="B108" s="59" t="s">
        <v>500</v>
      </c>
      <c r="C108" s="56" t="s">
        <v>516</v>
      </c>
      <c r="D108" s="56" t="s">
        <v>517</v>
      </c>
      <c r="E108" s="56" t="s">
        <v>457</v>
      </c>
      <c r="F108" s="56">
        <v>27.84</v>
      </c>
      <c r="G108" s="56" t="s">
        <v>112</v>
      </c>
      <c r="H108" s="56">
        <v>480</v>
      </c>
      <c r="I108" s="56" t="s">
        <v>119</v>
      </c>
      <c r="J108" s="76">
        <f t="shared" si="0"/>
        <v>5.8000000000000003E-2</v>
      </c>
    </row>
    <row r="109" spans="2:10" ht="15" thickBot="1" x14ac:dyDescent="0.4">
      <c r="B109" s="59" t="s">
        <v>500</v>
      </c>
      <c r="C109" s="61" t="s">
        <v>518</v>
      </c>
      <c r="D109" s="61" t="s">
        <v>519</v>
      </c>
      <c r="E109" s="61" t="s">
        <v>242</v>
      </c>
      <c r="F109" s="61">
        <v>20.14</v>
      </c>
      <c r="G109" s="61" t="s">
        <v>112</v>
      </c>
      <c r="H109" s="61">
        <v>320</v>
      </c>
      <c r="I109" s="61" t="s">
        <v>119</v>
      </c>
      <c r="J109" s="76">
        <f t="shared" si="0"/>
        <v>6.2937500000000007E-2</v>
      </c>
    </row>
    <row r="110" spans="2:10" ht="15" thickBot="1" x14ac:dyDescent="0.4">
      <c r="B110" s="59" t="s">
        <v>500</v>
      </c>
      <c r="C110" s="56" t="s">
        <v>520</v>
      </c>
      <c r="D110" s="56" t="s">
        <v>182</v>
      </c>
      <c r="E110" s="56" t="s">
        <v>228</v>
      </c>
      <c r="F110" s="56">
        <v>31.59</v>
      </c>
      <c r="G110" s="56" t="s">
        <v>112</v>
      </c>
      <c r="H110" s="56">
        <v>96</v>
      </c>
      <c r="I110" s="56" t="s">
        <v>119</v>
      </c>
      <c r="J110" s="76">
        <f t="shared" si="0"/>
        <v>0.32906249999999998</v>
      </c>
    </row>
    <row r="111" spans="2:10" ht="15" thickBot="1" x14ac:dyDescent="0.4">
      <c r="B111" s="59" t="s">
        <v>500</v>
      </c>
      <c r="C111" s="56" t="s">
        <v>521</v>
      </c>
      <c r="D111" s="56" t="s">
        <v>522</v>
      </c>
      <c r="E111" s="56" t="s">
        <v>523</v>
      </c>
      <c r="F111" s="56">
        <v>37.26</v>
      </c>
      <c r="G111" s="56" t="s">
        <v>112</v>
      </c>
      <c r="H111" s="56">
        <v>120</v>
      </c>
      <c r="I111" s="56" t="s">
        <v>2</v>
      </c>
      <c r="J111" s="76">
        <f t="shared" si="0"/>
        <v>0.3105</v>
      </c>
    </row>
    <row r="112" spans="2:10" ht="15" thickBot="1" x14ac:dyDescent="0.4">
      <c r="B112" s="59" t="s">
        <v>500</v>
      </c>
      <c r="C112" s="56" t="s">
        <v>524</v>
      </c>
      <c r="D112" s="56" t="s">
        <v>525</v>
      </c>
      <c r="E112" s="56" t="s">
        <v>179</v>
      </c>
      <c r="F112" s="56">
        <v>31.27</v>
      </c>
      <c r="G112" s="56" t="s">
        <v>112</v>
      </c>
      <c r="H112" s="56">
        <v>320</v>
      </c>
      <c r="I112" s="56" t="s">
        <v>119</v>
      </c>
      <c r="J112" s="76">
        <f t="shared" si="0"/>
        <v>9.7718749999999993E-2</v>
      </c>
    </row>
    <row r="113" spans="2:10" ht="15" thickBot="1" x14ac:dyDescent="0.4">
      <c r="B113" s="59" t="s">
        <v>500</v>
      </c>
      <c r="C113" s="56" t="s">
        <v>526</v>
      </c>
      <c r="D113" s="56" t="s">
        <v>527</v>
      </c>
      <c r="E113" s="56" t="s">
        <v>528</v>
      </c>
      <c r="F113" s="56">
        <v>36.99</v>
      </c>
      <c r="G113" s="56" t="s">
        <v>112</v>
      </c>
      <c r="H113" s="56"/>
      <c r="I113" s="56"/>
      <c r="J113" s="98" t="e">
        <f t="shared" si="0"/>
        <v>#DIV/0!</v>
      </c>
    </row>
    <row r="114" spans="2:10" ht="15" thickBot="1" x14ac:dyDescent="0.4">
      <c r="B114" s="59" t="s">
        <v>500</v>
      </c>
      <c r="C114" s="56" t="s">
        <v>529</v>
      </c>
      <c r="D114" s="56" t="s">
        <v>182</v>
      </c>
      <c r="E114" s="56" t="s">
        <v>197</v>
      </c>
      <c r="F114" s="56">
        <v>18.190000000000001</v>
      </c>
      <c r="G114" s="56" t="s">
        <v>112</v>
      </c>
      <c r="H114" s="56">
        <v>160</v>
      </c>
      <c r="I114" s="56" t="s">
        <v>119</v>
      </c>
      <c r="J114" s="76">
        <f t="shared" si="0"/>
        <v>0.11368750000000001</v>
      </c>
    </row>
    <row r="115" spans="2:10" ht="15" thickBot="1" x14ac:dyDescent="0.4">
      <c r="B115" s="59" t="s">
        <v>500</v>
      </c>
      <c r="C115" s="56" t="s">
        <v>530</v>
      </c>
      <c r="D115" s="56" t="s">
        <v>531</v>
      </c>
      <c r="E115" s="56" t="s">
        <v>532</v>
      </c>
      <c r="F115" s="56">
        <v>30.53</v>
      </c>
      <c r="G115" s="56" t="s">
        <v>112</v>
      </c>
      <c r="H115" s="56">
        <v>96</v>
      </c>
      <c r="I115" s="56" t="s">
        <v>119</v>
      </c>
      <c r="J115" s="76">
        <f t="shared" si="0"/>
        <v>0.31802083333333336</v>
      </c>
    </row>
    <row r="116" spans="2:10" ht="15" thickBot="1" x14ac:dyDescent="0.4">
      <c r="B116" s="59" t="s">
        <v>500</v>
      </c>
      <c r="C116" s="56" t="s">
        <v>533</v>
      </c>
      <c r="D116" s="56" t="s">
        <v>522</v>
      </c>
      <c r="E116" s="56" t="s">
        <v>534</v>
      </c>
      <c r="F116" s="56">
        <v>45.94</v>
      </c>
      <c r="G116" s="56" t="s">
        <v>112</v>
      </c>
      <c r="H116" s="56">
        <v>216</v>
      </c>
      <c r="I116" s="56" t="s">
        <v>119</v>
      </c>
      <c r="J116" s="76">
        <f t="shared" si="0"/>
        <v>0.21268518518518517</v>
      </c>
    </row>
    <row r="117" spans="2:10" ht="15" thickBot="1" x14ac:dyDescent="0.4">
      <c r="B117" s="59" t="s">
        <v>500</v>
      </c>
      <c r="C117" s="56" t="s">
        <v>535</v>
      </c>
      <c r="D117" s="56" t="s">
        <v>522</v>
      </c>
      <c r="E117" s="56" t="s">
        <v>536</v>
      </c>
      <c r="F117" s="56">
        <v>36.6</v>
      </c>
      <c r="G117" s="56" t="s">
        <v>112</v>
      </c>
      <c r="H117" s="56">
        <v>216</v>
      </c>
      <c r="I117" s="56" t="s">
        <v>119</v>
      </c>
      <c r="J117" s="76">
        <f t="shared" si="0"/>
        <v>0.16944444444444445</v>
      </c>
    </row>
    <row r="118" spans="2:10" x14ac:dyDescent="0.35">
      <c r="B118" s="59" t="s">
        <v>500</v>
      </c>
      <c r="C118" s="56" t="s">
        <v>537</v>
      </c>
      <c r="D118" s="56" t="s">
        <v>538</v>
      </c>
      <c r="E118" s="56" t="s">
        <v>539</v>
      </c>
      <c r="F118" s="56">
        <v>53.34</v>
      </c>
      <c r="G118" s="56" t="s">
        <v>112</v>
      </c>
      <c r="H118" s="56">
        <v>136</v>
      </c>
      <c r="I118" s="56" t="s">
        <v>2</v>
      </c>
      <c r="J118" s="76">
        <f t="shared" si="0"/>
        <v>0.39220588235294118</v>
      </c>
    </row>
  </sheetData>
  <sortState xmlns:xlrd2="http://schemas.microsoft.com/office/spreadsheetml/2017/richdata2" ref="B2:J101">
    <sortCondition ref="B2:B10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6A002-22B5-451A-9444-3EF8F818A5C4}">
  <sheetPr codeName="Sheet1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B1:L105"/>
  <sheetViews>
    <sheetView topLeftCell="A83" zoomScale="85" zoomScaleNormal="85" workbookViewId="0">
      <selection activeCell="D106" sqref="D106"/>
    </sheetView>
  </sheetViews>
  <sheetFormatPr defaultRowHeight="14.5" x14ac:dyDescent="0.35"/>
  <cols>
    <col min="3" max="3" width="89" customWidth="1"/>
    <col min="4" max="4" width="29.81640625" customWidth="1"/>
    <col min="6" max="6" width="9.1796875" style="44"/>
    <col min="7" max="7" width="3.453125" customWidth="1"/>
    <col min="9" max="9" width="9.1796875" style="43"/>
    <col min="10" max="10" width="9.1796875" style="2"/>
    <col min="12" max="12" width="9.1796875" style="44"/>
  </cols>
  <sheetData>
    <row r="1" spans="2:12" ht="15" thickBot="1" x14ac:dyDescent="0.4">
      <c r="B1" s="55" t="s">
        <v>100</v>
      </c>
      <c r="C1" s="55" t="s">
        <v>101</v>
      </c>
      <c r="D1" s="55" t="s">
        <v>102</v>
      </c>
      <c r="E1" s="55" t="s">
        <v>103</v>
      </c>
      <c r="F1" s="72" t="s">
        <v>172</v>
      </c>
      <c r="G1" s="55"/>
      <c r="H1" s="55" t="s">
        <v>106</v>
      </c>
      <c r="I1" s="68" t="s">
        <v>540</v>
      </c>
      <c r="J1" s="55" t="s">
        <v>541</v>
      </c>
      <c r="K1" s="55" t="s">
        <v>105</v>
      </c>
      <c r="L1" s="72" t="s">
        <v>107</v>
      </c>
    </row>
    <row r="2" spans="2:12" ht="15" thickBot="1" x14ac:dyDescent="0.4">
      <c r="B2" s="57" t="s">
        <v>542</v>
      </c>
      <c r="C2" s="58" t="s">
        <v>543</v>
      </c>
      <c r="D2" s="58" t="s">
        <v>544</v>
      </c>
      <c r="E2" s="58" t="s">
        <v>117</v>
      </c>
      <c r="F2" s="73">
        <v>47.06</v>
      </c>
      <c r="G2" s="58" t="s">
        <v>112</v>
      </c>
      <c r="H2" s="58">
        <f>15*16</f>
        <v>240</v>
      </c>
      <c r="I2" s="67">
        <v>0.93</v>
      </c>
      <c r="J2" s="58">
        <f>H2*I2</f>
        <v>223.20000000000002</v>
      </c>
      <c r="K2" s="58" t="s">
        <v>119</v>
      </c>
      <c r="L2" s="76">
        <f>F2/J2</f>
        <v>0.21084229390681003</v>
      </c>
    </row>
    <row r="3" spans="2:12" ht="15" thickBot="1" x14ac:dyDescent="0.4">
      <c r="B3" s="59" t="s">
        <v>542</v>
      </c>
      <c r="C3" s="56" t="s">
        <v>545</v>
      </c>
      <c r="D3" s="56" t="s">
        <v>546</v>
      </c>
      <c r="E3" s="56" t="s">
        <v>236</v>
      </c>
      <c r="F3" s="74">
        <v>29.58</v>
      </c>
      <c r="G3" s="58" t="s">
        <v>112</v>
      </c>
      <c r="H3" s="56">
        <f>2*5*16</f>
        <v>160</v>
      </c>
      <c r="I3" s="67">
        <v>0.93</v>
      </c>
      <c r="J3" s="58">
        <f t="shared" ref="J3:J4" si="0">H3*I3</f>
        <v>148.80000000000001</v>
      </c>
      <c r="K3" s="56" t="s">
        <v>119</v>
      </c>
      <c r="L3" s="76">
        <f t="shared" ref="L3:L4" si="1">F3/J3</f>
        <v>0.19879032258064513</v>
      </c>
    </row>
    <row r="4" spans="2:12" ht="15" thickBot="1" x14ac:dyDescent="0.4">
      <c r="B4" s="59" t="s">
        <v>542</v>
      </c>
      <c r="C4" s="56" t="s">
        <v>547</v>
      </c>
      <c r="D4" s="56" t="s">
        <v>548</v>
      </c>
      <c r="E4" s="56" t="s">
        <v>549</v>
      </c>
      <c r="F4" s="74">
        <v>47.26</v>
      </c>
      <c r="G4" s="58" t="s">
        <v>112</v>
      </c>
      <c r="H4" s="56">
        <f>8*3*16</f>
        <v>384</v>
      </c>
      <c r="I4" s="67">
        <v>0.93</v>
      </c>
      <c r="J4" s="58">
        <f t="shared" si="0"/>
        <v>357.12</v>
      </c>
      <c r="K4" s="56" t="s">
        <v>119</v>
      </c>
      <c r="L4" s="76">
        <f t="shared" si="1"/>
        <v>0.13233646953405018</v>
      </c>
    </row>
    <row r="5" spans="2:12" ht="15" thickBot="1" x14ac:dyDescent="0.4">
      <c r="B5" s="59" t="s">
        <v>542</v>
      </c>
      <c r="C5" s="56" t="s">
        <v>550</v>
      </c>
      <c r="D5" s="56" t="s">
        <v>290</v>
      </c>
      <c r="E5" s="56" t="s">
        <v>551</v>
      </c>
      <c r="F5" s="74">
        <v>40.58</v>
      </c>
      <c r="G5" s="58" t="s">
        <v>112</v>
      </c>
      <c r="H5" s="56">
        <f>36</f>
        <v>36</v>
      </c>
      <c r="I5" s="69">
        <v>1</v>
      </c>
      <c r="J5" s="56"/>
      <c r="K5" s="56" t="s">
        <v>2</v>
      </c>
      <c r="L5" s="76">
        <f>F5/H5</f>
        <v>1.1272222222222221</v>
      </c>
    </row>
    <row r="6" spans="2:12" ht="15" thickBot="1" x14ac:dyDescent="0.4">
      <c r="B6" s="59" t="s">
        <v>542</v>
      </c>
      <c r="C6" s="56" t="s">
        <v>552</v>
      </c>
      <c r="D6" s="56" t="s">
        <v>553</v>
      </c>
      <c r="E6" s="56" t="s">
        <v>554</v>
      </c>
      <c r="F6" s="74">
        <v>48.85</v>
      </c>
      <c r="G6" s="58" t="s">
        <v>112</v>
      </c>
      <c r="H6" s="56">
        <f>4*12</f>
        <v>48</v>
      </c>
      <c r="I6" s="69">
        <v>1</v>
      </c>
      <c r="J6" s="56"/>
      <c r="K6" s="56" t="s">
        <v>2</v>
      </c>
      <c r="L6" s="76">
        <f t="shared" ref="L6:L7" si="2">F6/H6</f>
        <v>1.0177083333333334</v>
      </c>
    </row>
    <row r="7" spans="2:12" x14ac:dyDescent="0.35">
      <c r="B7" s="59" t="s">
        <v>542</v>
      </c>
      <c r="C7" s="56" t="s">
        <v>555</v>
      </c>
      <c r="D7" s="56" t="s">
        <v>290</v>
      </c>
      <c r="E7" s="56" t="s">
        <v>551</v>
      </c>
      <c r="F7" s="74">
        <v>40.58</v>
      </c>
      <c r="G7" s="58" t="s">
        <v>112</v>
      </c>
      <c r="H7" s="56">
        <v>36</v>
      </c>
      <c r="I7" s="69">
        <v>1</v>
      </c>
      <c r="J7" s="56"/>
      <c r="K7" s="56" t="s">
        <v>2</v>
      </c>
      <c r="L7" s="76">
        <f t="shared" si="2"/>
        <v>1.1272222222222221</v>
      </c>
    </row>
    <row r="8" spans="2:12" x14ac:dyDescent="0.35">
      <c r="B8" s="59" t="s">
        <v>542</v>
      </c>
      <c r="C8" s="56" t="s">
        <v>556</v>
      </c>
      <c r="D8" s="56" t="s">
        <v>557</v>
      </c>
      <c r="E8" s="56" t="s">
        <v>558</v>
      </c>
      <c r="F8" s="74">
        <v>4.99</v>
      </c>
      <c r="G8" s="56" t="s">
        <v>184</v>
      </c>
      <c r="H8" s="56">
        <v>16</v>
      </c>
      <c r="I8" s="69">
        <v>0.7</v>
      </c>
      <c r="J8" s="56">
        <f>H8*I8</f>
        <v>11.2</v>
      </c>
      <c r="K8" s="56" t="s">
        <v>119</v>
      </c>
      <c r="L8" s="77">
        <f>F8/J8</f>
        <v>0.44553571428571431</v>
      </c>
    </row>
    <row r="9" spans="2:12" x14ac:dyDescent="0.35">
      <c r="B9" s="59" t="s">
        <v>542</v>
      </c>
      <c r="C9" s="56" t="s">
        <v>559</v>
      </c>
      <c r="D9" s="56" t="s">
        <v>560</v>
      </c>
      <c r="E9" s="56" t="s">
        <v>561</v>
      </c>
      <c r="F9" s="74">
        <v>3.86</v>
      </c>
      <c r="G9" s="56" t="s">
        <v>184</v>
      </c>
      <c r="H9" s="56">
        <v>16</v>
      </c>
      <c r="I9" s="69">
        <v>0.7</v>
      </c>
      <c r="J9" s="56">
        <f t="shared" ref="J9:J16" si="3">H9*I9</f>
        <v>11.2</v>
      </c>
      <c r="K9" s="56" t="s">
        <v>119</v>
      </c>
      <c r="L9" s="77">
        <f t="shared" ref="L9:L16" si="4">F9/J9</f>
        <v>0.34464285714285714</v>
      </c>
    </row>
    <row r="10" spans="2:12" x14ac:dyDescent="0.35">
      <c r="B10" s="59" t="s">
        <v>542</v>
      </c>
      <c r="C10" s="56" t="s">
        <v>562</v>
      </c>
      <c r="D10" s="56" t="s">
        <v>563</v>
      </c>
      <c r="E10" s="56" t="s">
        <v>564</v>
      </c>
      <c r="F10" s="74">
        <v>3.22</v>
      </c>
      <c r="G10" s="56" t="s">
        <v>184</v>
      </c>
      <c r="H10" s="56">
        <v>16</v>
      </c>
      <c r="I10" s="69">
        <v>0.43</v>
      </c>
      <c r="J10" s="56">
        <f t="shared" si="3"/>
        <v>6.88</v>
      </c>
      <c r="K10" s="56" t="s">
        <v>119</v>
      </c>
      <c r="L10" s="77">
        <f t="shared" si="4"/>
        <v>0.46802325581395354</v>
      </c>
    </row>
    <row r="11" spans="2:12" x14ac:dyDescent="0.35">
      <c r="B11" s="59" t="s">
        <v>542</v>
      </c>
      <c r="C11" s="56" t="s">
        <v>565</v>
      </c>
      <c r="D11" s="56" t="s">
        <v>557</v>
      </c>
      <c r="E11" s="56" t="s">
        <v>558</v>
      </c>
      <c r="F11" s="74">
        <v>5.61</v>
      </c>
      <c r="G11" s="56" t="s">
        <v>184</v>
      </c>
      <c r="H11" s="56">
        <v>16</v>
      </c>
      <c r="I11" s="69">
        <v>0.52</v>
      </c>
      <c r="J11" s="56">
        <f t="shared" si="3"/>
        <v>8.32</v>
      </c>
      <c r="K11" s="56" t="s">
        <v>119</v>
      </c>
      <c r="L11" s="77">
        <f t="shared" si="4"/>
        <v>0.67427884615384615</v>
      </c>
    </row>
    <row r="12" spans="2:12" x14ac:dyDescent="0.35">
      <c r="B12" s="59" t="s">
        <v>542</v>
      </c>
      <c r="C12" s="56" t="s">
        <v>94</v>
      </c>
      <c r="D12" s="56" t="s">
        <v>560</v>
      </c>
      <c r="E12" s="56" t="s">
        <v>566</v>
      </c>
      <c r="F12" s="74">
        <v>3.16</v>
      </c>
      <c r="G12" s="56" t="s">
        <v>184</v>
      </c>
      <c r="H12" s="56">
        <v>16</v>
      </c>
      <c r="I12" s="69">
        <v>0.65</v>
      </c>
      <c r="J12" s="56">
        <f t="shared" si="3"/>
        <v>10.4</v>
      </c>
      <c r="K12" s="56" t="s">
        <v>119</v>
      </c>
      <c r="L12" s="77">
        <f t="shared" si="4"/>
        <v>0.30384615384615388</v>
      </c>
    </row>
    <row r="13" spans="2:12" x14ac:dyDescent="0.35">
      <c r="B13" s="59" t="s">
        <v>542</v>
      </c>
      <c r="C13" s="56" t="s">
        <v>567</v>
      </c>
      <c r="D13" s="56" t="s">
        <v>557</v>
      </c>
      <c r="E13" s="56" t="s">
        <v>568</v>
      </c>
      <c r="F13" s="74">
        <v>5.55</v>
      </c>
      <c r="G13" s="56" t="s">
        <v>184</v>
      </c>
      <c r="H13" s="56">
        <v>16</v>
      </c>
      <c r="I13" s="69">
        <v>0.9</v>
      </c>
      <c r="J13" s="56">
        <f t="shared" si="3"/>
        <v>14.4</v>
      </c>
      <c r="K13" s="56" t="s">
        <v>119</v>
      </c>
      <c r="L13" s="77">
        <f t="shared" si="4"/>
        <v>0.38541666666666663</v>
      </c>
    </row>
    <row r="14" spans="2:12" x14ac:dyDescent="0.35">
      <c r="B14" s="59" t="s">
        <v>542</v>
      </c>
      <c r="C14" s="56" t="s">
        <v>569</v>
      </c>
      <c r="D14" s="56" t="s">
        <v>570</v>
      </c>
      <c r="E14" s="56" t="s">
        <v>236</v>
      </c>
      <c r="F14" s="74">
        <v>60.99</v>
      </c>
      <c r="G14" s="56" t="s">
        <v>112</v>
      </c>
      <c r="H14" s="56">
        <f>2*5*16</f>
        <v>160</v>
      </c>
      <c r="I14" s="69">
        <v>0.75</v>
      </c>
      <c r="J14" s="56">
        <f t="shared" si="3"/>
        <v>120</v>
      </c>
      <c r="K14" s="56" t="s">
        <v>119</v>
      </c>
      <c r="L14" s="77">
        <f t="shared" si="4"/>
        <v>0.50824999999999998</v>
      </c>
    </row>
    <row r="15" spans="2:12" x14ac:dyDescent="0.35">
      <c r="B15" s="59" t="s">
        <v>542</v>
      </c>
      <c r="C15" s="56" t="s">
        <v>571</v>
      </c>
      <c r="D15" s="56" t="s">
        <v>572</v>
      </c>
      <c r="E15" s="56" t="s">
        <v>573</v>
      </c>
      <c r="F15" s="74">
        <v>2.4500000000000002</v>
      </c>
      <c r="G15" s="56" t="s">
        <v>184</v>
      </c>
      <c r="H15" s="56">
        <v>16</v>
      </c>
      <c r="I15" s="69">
        <v>0.75</v>
      </c>
      <c r="J15" s="56">
        <f t="shared" si="3"/>
        <v>12</v>
      </c>
      <c r="K15" s="56" t="s">
        <v>119</v>
      </c>
      <c r="L15" s="77">
        <f t="shared" si="4"/>
        <v>0.20416666666666669</v>
      </c>
    </row>
    <row r="16" spans="2:12" ht="15" thickBot="1" x14ac:dyDescent="0.4">
      <c r="B16" s="59" t="s">
        <v>542</v>
      </c>
      <c r="C16" s="56" t="s">
        <v>574</v>
      </c>
      <c r="D16" s="56" t="s">
        <v>557</v>
      </c>
      <c r="E16" s="56" t="s">
        <v>224</v>
      </c>
      <c r="F16" s="74">
        <v>3</v>
      </c>
      <c r="G16" s="56" t="s">
        <v>184</v>
      </c>
      <c r="H16" s="56">
        <v>16</v>
      </c>
      <c r="I16" s="69">
        <v>0.75</v>
      </c>
      <c r="J16" s="56">
        <f t="shared" si="3"/>
        <v>12</v>
      </c>
      <c r="K16" s="56" t="s">
        <v>119</v>
      </c>
      <c r="L16" s="77">
        <f t="shared" si="4"/>
        <v>0.25</v>
      </c>
    </row>
    <row r="17" spans="2:12" ht="15" thickBot="1" x14ac:dyDescent="0.4">
      <c r="B17" s="59" t="s">
        <v>542</v>
      </c>
      <c r="C17" s="56" t="s">
        <v>575</v>
      </c>
      <c r="D17" s="56" t="s">
        <v>572</v>
      </c>
      <c r="E17" s="56" t="s">
        <v>576</v>
      </c>
      <c r="F17" s="74">
        <v>28.27</v>
      </c>
      <c r="G17" s="56" t="s">
        <v>112</v>
      </c>
      <c r="H17" s="56">
        <f>40</f>
        <v>40</v>
      </c>
      <c r="I17" s="69">
        <v>1</v>
      </c>
      <c r="J17" s="56"/>
      <c r="K17" s="56" t="s">
        <v>2</v>
      </c>
      <c r="L17" s="76">
        <f t="shared" ref="L17:L18" si="5">F17/H17</f>
        <v>0.70674999999999999</v>
      </c>
    </row>
    <row r="18" spans="2:12" x14ac:dyDescent="0.35">
      <c r="B18" s="59" t="s">
        <v>542</v>
      </c>
      <c r="C18" s="56" t="s">
        <v>577</v>
      </c>
      <c r="D18" s="56" t="s">
        <v>578</v>
      </c>
      <c r="E18" s="56" t="s">
        <v>579</v>
      </c>
      <c r="F18" s="74">
        <v>55.17</v>
      </c>
      <c r="G18" s="56" t="s">
        <v>112</v>
      </c>
      <c r="H18" s="56">
        <v>32</v>
      </c>
      <c r="I18" s="69">
        <v>1</v>
      </c>
      <c r="J18" s="56"/>
      <c r="K18" s="56" t="s">
        <v>2</v>
      </c>
      <c r="L18" s="76">
        <f t="shared" si="5"/>
        <v>1.7240625000000001</v>
      </c>
    </row>
    <row r="19" spans="2:12" x14ac:dyDescent="0.35">
      <c r="B19" s="59" t="s">
        <v>542</v>
      </c>
      <c r="C19" s="56" t="s">
        <v>580</v>
      </c>
      <c r="D19" s="56" t="s">
        <v>563</v>
      </c>
      <c r="E19" s="56" t="s">
        <v>581</v>
      </c>
      <c r="F19" s="74">
        <v>6.71</v>
      </c>
      <c r="G19" s="56" t="s">
        <v>184</v>
      </c>
      <c r="H19" s="56">
        <v>16</v>
      </c>
      <c r="I19" s="69">
        <v>0.78</v>
      </c>
      <c r="J19" s="56">
        <f>H19*I19</f>
        <v>12.48</v>
      </c>
      <c r="K19" s="56" t="s">
        <v>119</v>
      </c>
      <c r="L19" s="77">
        <f>F19/J19</f>
        <v>0.53766025641025639</v>
      </c>
    </row>
    <row r="20" spans="2:12" x14ac:dyDescent="0.35">
      <c r="B20" s="59" t="s">
        <v>542</v>
      </c>
      <c r="C20" s="56" t="s">
        <v>582</v>
      </c>
      <c r="D20" s="56" t="s">
        <v>572</v>
      </c>
      <c r="E20" s="56" t="s">
        <v>583</v>
      </c>
      <c r="F20" s="74">
        <v>72.88</v>
      </c>
      <c r="G20" s="56" t="s">
        <v>112</v>
      </c>
      <c r="H20" s="56">
        <f>28*6</f>
        <v>168</v>
      </c>
      <c r="I20" s="69">
        <v>0.78</v>
      </c>
      <c r="J20" s="56">
        <f t="shared" ref="J20:J22" si="6">H20*I20</f>
        <v>131.04</v>
      </c>
      <c r="K20" s="56" t="s">
        <v>119</v>
      </c>
      <c r="L20" s="77">
        <f t="shared" ref="L20:L83" si="7">F20/J20</f>
        <v>0.55616605616605619</v>
      </c>
    </row>
    <row r="21" spans="2:12" x14ac:dyDescent="0.35">
      <c r="B21" s="59" t="s">
        <v>542</v>
      </c>
      <c r="C21" s="56" t="s">
        <v>584</v>
      </c>
      <c r="D21" s="56" t="s">
        <v>563</v>
      </c>
      <c r="E21" s="56" t="s">
        <v>585</v>
      </c>
      <c r="F21" s="74">
        <v>3.52</v>
      </c>
      <c r="G21" s="56" t="s">
        <v>184</v>
      </c>
      <c r="H21" s="56">
        <v>16</v>
      </c>
      <c r="I21" s="69">
        <v>0.65</v>
      </c>
      <c r="J21" s="56">
        <f t="shared" si="6"/>
        <v>10.4</v>
      </c>
      <c r="K21" s="56" t="s">
        <v>119</v>
      </c>
      <c r="L21" s="77">
        <f t="shared" si="7"/>
        <v>0.33846153846153842</v>
      </c>
    </row>
    <row r="22" spans="2:12" ht="15" thickBot="1" x14ac:dyDescent="0.4">
      <c r="B22" s="59" t="s">
        <v>542</v>
      </c>
      <c r="C22" s="56" t="s">
        <v>586</v>
      </c>
      <c r="D22" s="56" t="s">
        <v>572</v>
      </c>
      <c r="E22" s="56" t="s">
        <v>236</v>
      </c>
      <c r="F22" s="74">
        <v>88.46</v>
      </c>
      <c r="G22" s="56" t="s">
        <v>112</v>
      </c>
      <c r="H22" s="56">
        <f>2*5*16</f>
        <v>160</v>
      </c>
      <c r="I22" s="69">
        <v>0.75</v>
      </c>
      <c r="J22" s="56">
        <f t="shared" si="6"/>
        <v>120</v>
      </c>
      <c r="K22" s="56" t="s">
        <v>119</v>
      </c>
      <c r="L22" s="77">
        <f t="shared" si="7"/>
        <v>0.73716666666666664</v>
      </c>
    </row>
    <row r="23" spans="2:12" ht="15" thickBot="1" x14ac:dyDescent="0.4">
      <c r="B23" s="59" t="s">
        <v>542</v>
      </c>
      <c r="C23" s="56" t="s">
        <v>587</v>
      </c>
      <c r="D23" s="56" t="s">
        <v>588</v>
      </c>
      <c r="E23" s="56" t="s">
        <v>197</v>
      </c>
      <c r="F23" s="74">
        <v>36.71</v>
      </c>
      <c r="G23" s="56" t="s">
        <v>112</v>
      </c>
      <c r="H23" s="64">
        <f>10*16/5.33</f>
        <v>30.0187617260788</v>
      </c>
      <c r="I23" s="69"/>
      <c r="J23" s="64"/>
      <c r="K23" s="56" t="s">
        <v>2</v>
      </c>
      <c r="L23" s="76">
        <f t="shared" ref="L23:L24" si="8">F23/H23</f>
        <v>1.222901875</v>
      </c>
    </row>
    <row r="24" spans="2:12" x14ac:dyDescent="0.35">
      <c r="B24" s="59" t="s">
        <v>542</v>
      </c>
      <c r="C24" s="56" t="s">
        <v>589</v>
      </c>
      <c r="D24" s="56" t="s">
        <v>251</v>
      </c>
      <c r="E24" s="56" t="s">
        <v>251</v>
      </c>
      <c r="F24" s="74">
        <v>5.19</v>
      </c>
      <c r="G24" s="56" t="s">
        <v>184</v>
      </c>
      <c r="H24" s="56">
        <v>16</v>
      </c>
      <c r="I24" s="69">
        <v>0.52</v>
      </c>
      <c r="J24" s="56"/>
      <c r="K24" s="56" t="s">
        <v>119</v>
      </c>
      <c r="L24" s="76">
        <f t="shared" si="8"/>
        <v>0.32437500000000002</v>
      </c>
    </row>
    <row r="25" spans="2:12" x14ac:dyDescent="0.35">
      <c r="B25" s="59" t="s">
        <v>542</v>
      </c>
      <c r="C25" s="56" t="s">
        <v>590</v>
      </c>
      <c r="D25" s="56" t="s">
        <v>591</v>
      </c>
      <c r="E25" s="56" t="s">
        <v>592</v>
      </c>
      <c r="F25" s="74">
        <v>5.5</v>
      </c>
      <c r="G25" s="56" t="s">
        <v>184</v>
      </c>
      <c r="H25" s="56">
        <v>16</v>
      </c>
      <c r="I25" s="69">
        <v>0.52</v>
      </c>
      <c r="J25" s="56">
        <f>H25*I25</f>
        <v>8.32</v>
      </c>
      <c r="K25" s="56" t="s">
        <v>119</v>
      </c>
      <c r="L25" s="77">
        <f t="shared" si="7"/>
        <v>0.66105769230769229</v>
      </c>
    </row>
    <row r="26" spans="2:12" x14ac:dyDescent="0.35">
      <c r="B26" s="59" t="s">
        <v>542</v>
      </c>
      <c r="C26" s="56" t="s">
        <v>593</v>
      </c>
      <c r="D26" s="56" t="s">
        <v>594</v>
      </c>
      <c r="E26" s="56" t="s">
        <v>595</v>
      </c>
      <c r="F26" s="74">
        <v>1.74</v>
      </c>
      <c r="G26" s="56" t="s">
        <v>184</v>
      </c>
      <c r="H26" s="56">
        <v>16</v>
      </c>
      <c r="I26" s="69">
        <v>0.9</v>
      </c>
      <c r="J26" s="56">
        <f t="shared" ref="J26:J48" si="9">H26*I26</f>
        <v>14.4</v>
      </c>
      <c r="K26" s="56" t="s">
        <v>119</v>
      </c>
      <c r="L26" s="77">
        <f t="shared" si="7"/>
        <v>0.12083333333333333</v>
      </c>
    </row>
    <row r="27" spans="2:12" x14ac:dyDescent="0.35">
      <c r="B27" s="59" t="s">
        <v>542</v>
      </c>
      <c r="C27" s="56" t="s">
        <v>596</v>
      </c>
      <c r="D27" s="56" t="s">
        <v>597</v>
      </c>
      <c r="E27" s="56" t="s">
        <v>598</v>
      </c>
      <c r="F27" s="74">
        <v>2.1800000000000002</v>
      </c>
      <c r="G27" s="56" t="s">
        <v>184</v>
      </c>
      <c r="H27" s="56">
        <v>16</v>
      </c>
      <c r="I27" s="69">
        <v>0.9</v>
      </c>
      <c r="J27" s="56">
        <f t="shared" si="9"/>
        <v>14.4</v>
      </c>
      <c r="K27" s="56" t="s">
        <v>119</v>
      </c>
      <c r="L27" s="77">
        <f t="shared" si="7"/>
        <v>0.15138888888888891</v>
      </c>
    </row>
    <row r="28" spans="2:12" x14ac:dyDescent="0.35">
      <c r="B28" s="59" t="s">
        <v>542</v>
      </c>
      <c r="C28" s="56" t="s">
        <v>599</v>
      </c>
      <c r="D28" s="56" t="s">
        <v>182</v>
      </c>
      <c r="E28" s="56" t="s">
        <v>600</v>
      </c>
      <c r="F28" s="74">
        <v>4.1900000000000004</v>
      </c>
      <c r="G28" s="56" t="s">
        <v>184</v>
      </c>
      <c r="H28" s="56">
        <v>16</v>
      </c>
      <c r="I28" s="69">
        <v>0.9</v>
      </c>
      <c r="J28" s="56">
        <f t="shared" si="9"/>
        <v>14.4</v>
      </c>
      <c r="K28" s="56" t="s">
        <v>119</v>
      </c>
      <c r="L28" s="77">
        <f t="shared" si="7"/>
        <v>0.29097222222222224</v>
      </c>
    </row>
    <row r="29" spans="2:12" x14ac:dyDescent="0.35">
      <c r="B29" s="59" t="s">
        <v>542</v>
      </c>
      <c r="C29" s="56" t="s">
        <v>59</v>
      </c>
      <c r="D29" s="56" t="s">
        <v>182</v>
      </c>
      <c r="E29" s="56" t="s">
        <v>601</v>
      </c>
      <c r="F29" s="74">
        <v>6.47</v>
      </c>
      <c r="G29" s="56" t="s">
        <v>184</v>
      </c>
      <c r="H29" s="56">
        <v>16</v>
      </c>
      <c r="I29" s="69">
        <v>0.9</v>
      </c>
      <c r="J29" s="56">
        <f t="shared" si="9"/>
        <v>14.4</v>
      </c>
      <c r="K29" s="56" t="s">
        <v>119</v>
      </c>
      <c r="L29" s="77">
        <f t="shared" si="7"/>
        <v>0.44930555555555551</v>
      </c>
    </row>
    <row r="30" spans="2:12" x14ac:dyDescent="0.35">
      <c r="B30" s="59" t="s">
        <v>542</v>
      </c>
      <c r="C30" s="56" t="s">
        <v>602</v>
      </c>
      <c r="D30" s="56" t="s">
        <v>594</v>
      </c>
      <c r="E30" s="56" t="s">
        <v>197</v>
      </c>
      <c r="F30" s="74">
        <v>23.6</v>
      </c>
      <c r="G30" s="56" t="s">
        <v>112</v>
      </c>
      <c r="H30" s="56">
        <f>10*16</f>
        <v>160</v>
      </c>
      <c r="I30" s="69">
        <v>0.9</v>
      </c>
      <c r="J30" s="56">
        <f t="shared" si="9"/>
        <v>144</v>
      </c>
      <c r="K30" s="56" t="s">
        <v>119</v>
      </c>
      <c r="L30" s="77">
        <f t="shared" si="7"/>
        <v>0.16388888888888889</v>
      </c>
    </row>
    <row r="31" spans="2:12" x14ac:dyDescent="0.35">
      <c r="B31" s="59" t="s">
        <v>542</v>
      </c>
      <c r="C31" s="56" t="s">
        <v>603</v>
      </c>
      <c r="D31" s="56" t="s">
        <v>594</v>
      </c>
      <c r="E31" s="56" t="s">
        <v>197</v>
      </c>
      <c r="F31" s="74">
        <v>23.6</v>
      </c>
      <c r="G31" s="56" t="s">
        <v>112</v>
      </c>
      <c r="H31" s="56">
        <f>10*16</f>
        <v>160</v>
      </c>
      <c r="I31" s="69">
        <v>0.9</v>
      </c>
      <c r="J31" s="56">
        <f t="shared" si="9"/>
        <v>144</v>
      </c>
      <c r="K31" s="56" t="s">
        <v>119</v>
      </c>
      <c r="L31" s="77">
        <f t="shared" si="7"/>
        <v>0.16388888888888889</v>
      </c>
    </row>
    <row r="32" spans="2:12" x14ac:dyDescent="0.35">
      <c r="B32" s="59" t="s">
        <v>542</v>
      </c>
      <c r="C32" s="56" t="s">
        <v>604</v>
      </c>
      <c r="D32" s="56" t="s">
        <v>557</v>
      </c>
      <c r="E32" s="56" t="s">
        <v>197</v>
      </c>
      <c r="F32" s="74">
        <v>71.59</v>
      </c>
      <c r="G32" s="56" t="s">
        <v>112</v>
      </c>
      <c r="H32" s="56">
        <f>10*16</f>
        <v>160</v>
      </c>
      <c r="I32" s="69">
        <v>0.75</v>
      </c>
      <c r="J32" s="56">
        <f t="shared" si="9"/>
        <v>120</v>
      </c>
      <c r="K32" s="56" t="s">
        <v>119</v>
      </c>
      <c r="L32" s="77">
        <f t="shared" si="7"/>
        <v>0.59658333333333335</v>
      </c>
    </row>
    <row r="33" spans="2:12" x14ac:dyDescent="0.35">
      <c r="B33" s="59" t="s">
        <v>542</v>
      </c>
      <c r="C33" s="56" t="s">
        <v>605</v>
      </c>
      <c r="D33" s="56" t="s">
        <v>606</v>
      </c>
      <c r="E33" s="56" t="s">
        <v>600</v>
      </c>
      <c r="F33" s="74">
        <v>7.69</v>
      </c>
      <c r="G33" s="56" t="s">
        <v>184</v>
      </c>
      <c r="H33" s="56">
        <v>16</v>
      </c>
      <c r="I33" s="69">
        <v>0.75</v>
      </c>
      <c r="J33" s="56">
        <f t="shared" si="9"/>
        <v>12</v>
      </c>
      <c r="K33" s="56" t="s">
        <v>119</v>
      </c>
      <c r="L33" s="77">
        <f t="shared" si="7"/>
        <v>0.64083333333333337</v>
      </c>
    </row>
    <row r="34" spans="2:12" x14ac:dyDescent="0.35">
      <c r="B34" s="59" t="s">
        <v>542</v>
      </c>
      <c r="C34" s="56" t="s">
        <v>607</v>
      </c>
      <c r="D34" s="56" t="s">
        <v>594</v>
      </c>
      <c r="E34" s="56" t="s">
        <v>224</v>
      </c>
      <c r="F34" s="74">
        <v>6</v>
      </c>
      <c r="G34" s="56" t="s">
        <v>184</v>
      </c>
      <c r="H34" s="56">
        <v>16</v>
      </c>
      <c r="I34" s="69">
        <v>0.7</v>
      </c>
      <c r="J34" s="56">
        <f t="shared" si="9"/>
        <v>11.2</v>
      </c>
      <c r="K34" s="56" t="s">
        <v>119</v>
      </c>
      <c r="L34" s="77">
        <f t="shared" si="7"/>
        <v>0.5357142857142857</v>
      </c>
    </row>
    <row r="35" spans="2:12" x14ac:dyDescent="0.35">
      <c r="B35" s="59" t="s">
        <v>542</v>
      </c>
      <c r="C35" s="56" t="s">
        <v>91</v>
      </c>
      <c r="D35" s="56" t="s">
        <v>182</v>
      </c>
      <c r="E35" s="56" t="s">
        <v>236</v>
      </c>
      <c r="F35" s="74">
        <v>25.34</v>
      </c>
      <c r="G35" s="56" t="s">
        <v>112</v>
      </c>
      <c r="H35" s="56">
        <v>160</v>
      </c>
      <c r="I35" s="69">
        <v>0.9</v>
      </c>
      <c r="J35" s="56">
        <f t="shared" si="9"/>
        <v>144</v>
      </c>
      <c r="K35" s="56" t="s">
        <v>119</v>
      </c>
      <c r="L35" s="77">
        <f t="shared" si="7"/>
        <v>0.17597222222222222</v>
      </c>
    </row>
    <row r="36" spans="2:12" x14ac:dyDescent="0.35">
      <c r="B36" s="59" t="s">
        <v>542</v>
      </c>
      <c r="C36" s="56" t="s">
        <v>608</v>
      </c>
      <c r="D36" s="56" t="s">
        <v>182</v>
      </c>
      <c r="E36" s="56" t="s">
        <v>609</v>
      </c>
      <c r="F36" s="74">
        <v>2.86</v>
      </c>
      <c r="G36" s="56" t="s">
        <v>184</v>
      </c>
      <c r="H36" s="56">
        <v>16</v>
      </c>
      <c r="I36" s="69">
        <v>0.9</v>
      </c>
      <c r="J36" s="56">
        <f t="shared" si="9"/>
        <v>14.4</v>
      </c>
      <c r="K36" s="56" t="s">
        <v>119</v>
      </c>
      <c r="L36" s="77">
        <f t="shared" si="7"/>
        <v>0.1986111111111111</v>
      </c>
    </row>
    <row r="37" spans="2:12" x14ac:dyDescent="0.35">
      <c r="B37" s="59" t="s">
        <v>542</v>
      </c>
      <c r="C37" s="56" t="s">
        <v>610</v>
      </c>
      <c r="D37" s="56" t="s">
        <v>251</v>
      </c>
      <c r="E37" s="56" t="s">
        <v>611</v>
      </c>
      <c r="F37" s="74">
        <v>1.81</v>
      </c>
      <c r="G37" s="56" t="s">
        <v>184</v>
      </c>
      <c r="H37" s="56">
        <v>16</v>
      </c>
      <c r="I37" s="69">
        <v>0.85</v>
      </c>
      <c r="J37" s="56">
        <f t="shared" si="9"/>
        <v>13.6</v>
      </c>
      <c r="K37" s="56" t="s">
        <v>119</v>
      </c>
      <c r="L37" s="77">
        <f t="shared" si="7"/>
        <v>0.13308823529411765</v>
      </c>
    </row>
    <row r="38" spans="2:12" x14ac:dyDescent="0.35">
      <c r="B38" s="59" t="s">
        <v>542</v>
      </c>
      <c r="C38" s="56" t="s">
        <v>612</v>
      </c>
      <c r="D38" s="56" t="s">
        <v>613</v>
      </c>
      <c r="E38" s="56" t="s">
        <v>614</v>
      </c>
      <c r="F38" s="74">
        <v>4.34</v>
      </c>
      <c r="G38" s="56" t="s">
        <v>184</v>
      </c>
      <c r="H38" s="56">
        <v>16</v>
      </c>
      <c r="I38" s="69">
        <v>0.93</v>
      </c>
      <c r="J38" s="56">
        <f t="shared" si="9"/>
        <v>14.88</v>
      </c>
      <c r="K38" s="56" t="s">
        <v>119</v>
      </c>
      <c r="L38" s="77">
        <f t="shared" si="7"/>
        <v>0.29166666666666663</v>
      </c>
    </row>
    <row r="39" spans="2:12" x14ac:dyDescent="0.35">
      <c r="B39" s="59" t="s">
        <v>542</v>
      </c>
      <c r="C39" s="56" t="s">
        <v>615</v>
      </c>
      <c r="D39" s="56" t="s">
        <v>563</v>
      </c>
      <c r="E39" s="56" t="s">
        <v>616</v>
      </c>
      <c r="F39" s="74">
        <v>1.37</v>
      </c>
      <c r="G39" s="56" t="s">
        <v>184</v>
      </c>
      <c r="H39" s="56">
        <v>16</v>
      </c>
      <c r="I39" s="69">
        <v>0.85</v>
      </c>
      <c r="J39" s="56">
        <f t="shared" si="9"/>
        <v>13.6</v>
      </c>
      <c r="K39" s="56" t="s">
        <v>119</v>
      </c>
      <c r="L39" s="77">
        <f t="shared" si="7"/>
        <v>0.10073529411764708</v>
      </c>
    </row>
    <row r="40" spans="2:12" x14ac:dyDescent="0.35">
      <c r="B40" s="59" t="s">
        <v>542</v>
      </c>
      <c r="C40" s="56" t="s">
        <v>617</v>
      </c>
      <c r="D40" s="56" t="s">
        <v>594</v>
      </c>
      <c r="E40" s="56" t="s">
        <v>236</v>
      </c>
      <c r="F40" s="74">
        <v>21.95</v>
      </c>
      <c r="G40" s="56" t="s">
        <v>112</v>
      </c>
      <c r="H40" s="56">
        <f>2*5*16</f>
        <v>160</v>
      </c>
      <c r="I40" s="69">
        <v>0.68</v>
      </c>
      <c r="J40" s="56">
        <f t="shared" si="9"/>
        <v>108.80000000000001</v>
      </c>
      <c r="K40" s="56" t="s">
        <v>119</v>
      </c>
      <c r="L40" s="77">
        <f t="shared" si="7"/>
        <v>0.20174632352941174</v>
      </c>
    </row>
    <row r="41" spans="2:12" x14ac:dyDescent="0.35">
      <c r="B41" s="59" t="s">
        <v>542</v>
      </c>
      <c r="C41" s="56" t="s">
        <v>618</v>
      </c>
      <c r="D41" s="56" t="s">
        <v>619</v>
      </c>
      <c r="E41" s="56" t="s">
        <v>620</v>
      </c>
      <c r="F41" s="74">
        <v>1.63</v>
      </c>
      <c r="G41" s="56" t="s">
        <v>184</v>
      </c>
      <c r="H41" s="56">
        <v>16</v>
      </c>
      <c r="I41" s="69">
        <v>0.95</v>
      </c>
      <c r="J41" s="56">
        <f t="shared" si="9"/>
        <v>15.2</v>
      </c>
      <c r="K41" s="56" t="s">
        <v>119</v>
      </c>
      <c r="L41" s="77">
        <f t="shared" si="7"/>
        <v>0.10723684210526316</v>
      </c>
    </row>
    <row r="42" spans="2:12" x14ac:dyDescent="0.35">
      <c r="B42" s="59" t="s">
        <v>542</v>
      </c>
      <c r="C42" s="56" t="s">
        <v>621</v>
      </c>
      <c r="D42" s="56" t="s">
        <v>622</v>
      </c>
      <c r="E42" s="56" t="s">
        <v>620</v>
      </c>
      <c r="F42" s="74">
        <v>1.74</v>
      </c>
      <c r="G42" s="56" t="s">
        <v>184</v>
      </c>
      <c r="H42" s="56">
        <v>16</v>
      </c>
      <c r="I42" s="69">
        <v>0.95</v>
      </c>
      <c r="J42" s="56">
        <f t="shared" si="9"/>
        <v>15.2</v>
      </c>
      <c r="K42" s="56" t="s">
        <v>119</v>
      </c>
      <c r="L42" s="77">
        <f t="shared" si="7"/>
        <v>0.11447368421052632</v>
      </c>
    </row>
    <row r="43" spans="2:12" x14ac:dyDescent="0.35">
      <c r="B43" s="59" t="s">
        <v>542</v>
      </c>
      <c r="C43" s="56" t="s">
        <v>623</v>
      </c>
      <c r="D43" s="56" t="s">
        <v>563</v>
      </c>
      <c r="E43" s="56" t="s">
        <v>624</v>
      </c>
      <c r="F43" s="74">
        <v>1.7</v>
      </c>
      <c r="G43" s="56" t="s">
        <v>184</v>
      </c>
      <c r="H43" s="56">
        <v>16</v>
      </c>
      <c r="I43" s="69">
        <v>0.95</v>
      </c>
      <c r="J43" s="56">
        <f t="shared" si="9"/>
        <v>15.2</v>
      </c>
      <c r="K43" s="56" t="s">
        <v>119</v>
      </c>
      <c r="L43" s="77">
        <f t="shared" si="7"/>
        <v>0.1118421052631579</v>
      </c>
    </row>
    <row r="44" spans="2:12" x14ac:dyDescent="0.35">
      <c r="B44" s="59" t="s">
        <v>542</v>
      </c>
      <c r="C44" s="56" t="s">
        <v>625</v>
      </c>
      <c r="D44" s="56" t="s">
        <v>619</v>
      </c>
      <c r="E44" s="56" t="s">
        <v>626</v>
      </c>
      <c r="F44" s="74">
        <v>1.35</v>
      </c>
      <c r="G44" s="56" t="s">
        <v>184</v>
      </c>
      <c r="H44" s="56">
        <v>16</v>
      </c>
      <c r="I44" s="69">
        <v>0.84</v>
      </c>
      <c r="J44" s="56">
        <f t="shared" si="9"/>
        <v>13.44</v>
      </c>
      <c r="K44" s="56" t="s">
        <v>119</v>
      </c>
      <c r="L44" s="77">
        <f t="shared" si="7"/>
        <v>0.10044642857142858</v>
      </c>
    </row>
    <row r="45" spans="2:12" x14ac:dyDescent="0.35">
      <c r="B45" s="59" t="s">
        <v>542</v>
      </c>
      <c r="C45" s="56" t="s">
        <v>627</v>
      </c>
      <c r="D45" s="56" t="s">
        <v>563</v>
      </c>
      <c r="E45" s="56" t="s">
        <v>628</v>
      </c>
      <c r="F45" s="74">
        <v>2.37</v>
      </c>
      <c r="G45" s="56" t="s">
        <v>184</v>
      </c>
      <c r="H45" s="56">
        <v>16</v>
      </c>
      <c r="I45" s="69">
        <v>0.95</v>
      </c>
      <c r="J45" s="56">
        <f t="shared" si="9"/>
        <v>15.2</v>
      </c>
      <c r="K45" s="56" t="s">
        <v>119</v>
      </c>
      <c r="L45" s="77">
        <f t="shared" si="7"/>
        <v>0.15592105263157896</v>
      </c>
    </row>
    <row r="46" spans="2:12" x14ac:dyDescent="0.35">
      <c r="B46" s="59" t="s">
        <v>542</v>
      </c>
      <c r="C46" s="56" t="s">
        <v>629</v>
      </c>
      <c r="D46" s="56" t="s">
        <v>251</v>
      </c>
      <c r="E46" s="56" t="s">
        <v>251</v>
      </c>
      <c r="F46" s="74">
        <v>8.08</v>
      </c>
      <c r="G46" s="56" t="s">
        <v>184</v>
      </c>
      <c r="H46" s="56">
        <v>16</v>
      </c>
      <c r="I46" s="69">
        <v>0.72</v>
      </c>
      <c r="J46" s="56">
        <f t="shared" si="9"/>
        <v>11.52</v>
      </c>
      <c r="K46" s="56" t="s">
        <v>119</v>
      </c>
      <c r="L46" s="77">
        <f t="shared" si="7"/>
        <v>0.70138888888888895</v>
      </c>
    </row>
    <row r="47" spans="2:12" x14ac:dyDescent="0.35">
      <c r="B47" s="59" t="s">
        <v>542</v>
      </c>
      <c r="C47" s="56" t="s">
        <v>630</v>
      </c>
      <c r="D47" s="56" t="s">
        <v>182</v>
      </c>
      <c r="E47" s="56" t="s">
        <v>245</v>
      </c>
      <c r="F47" s="74">
        <v>3.72</v>
      </c>
      <c r="G47" s="56" t="s">
        <v>184</v>
      </c>
      <c r="H47" s="56">
        <v>16</v>
      </c>
      <c r="I47" s="69">
        <v>0.9</v>
      </c>
      <c r="J47" s="56">
        <f t="shared" si="9"/>
        <v>14.4</v>
      </c>
      <c r="K47" s="56" t="s">
        <v>119</v>
      </c>
      <c r="L47" s="77">
        <f t="shared" si="7"/>
        <v>0.25833333333333336</v>
      </c>
    </row>
    <row r="48" spans="2:12" ht="15" thickBot="1" x14ac:dyDescent="0.4">
      <c r="B48" s="59" t="s">
        <v>542</v>
      </c>
      <c r="C48" s="56" t="s">
        <v>631</v>
      </c>
      <c r="D48" s="56" t="s">
        <v>632</v>
      </c>
      <c r="E48" s="56" t="s">
        <v>633</v>
      </c>
      <c r="F48" s="74">
        <v>36.159999999999997</v>
      </c>
      <c r="G48" s="56" t="s">
        <v>112</v>
      </c>
      <c r="H48" s="56">
        <f>11*16</f>
        <v>176</v>
      </c>
      <c r="I48" s="69">
        <v>0.9</v>
      </c>
      <c r="J48" s="56">
        <f t="shared" si="9"/>
        <v>158.4</v>
      </c>
      <c r="K48" s="56" t="s">
        <v>119</v>
      </c>
      <c r="L48" s="77">
        <f t="shared" si="7"/>
        <v>0.22828282828282825</v>
      </c>
    </row>
    <row r="49" spans="2:12" ht="15" thickBot="1" x14ac:dyDescent="0.4">
      <c r="B49" s="59" t="s">
        <v>542</v>
      </c>
      <c r="C49" s="56" t="s">
        <v>58</v>
      </c>
      <c r="D49" s="56" t="s">
        <v>634</v>
      </c>
      <c r="E49" s="56" t="s">
        <v>197</v>
      </c>
      <c r="F49" s="74">
        <v>25.46</v>
      </c>
      <c r="G49" s="56" t="s">
        <v>112</v>
      </c>
      <c r="H49" s="56">
        <f>10*16/4</f>
        <v>40</v>
      </c>
      <c r="I49" s="69">
        <v>1</v>
      </c>
      <c r="J49" s="56"/>
      <c r="K49" s="56" t="s">
        <v>2</v>
      </c>
      <c r="L49" s="76">
        <f t="shared" ref="L49:L50" si="10">F49/H49</f>
        <v>0.63650000000000007</v>
      </c>
    </row>
    <row r="50" spans="2:12" x14ac:dyDescent="0.35">
      <c r="B50" s="59" t="s">
        <v>542</v>
      </c>
      <c r="C50" s="56" t="s">
        <v>635</v>
      </c>
      <c r="D50" s="56" t="s">
        <v>182</v>
      </c>
      <c r="E50" s="56" t="s">
        <v>197</v>
      </c>
      <c r="F50" s="74">
        <v>26.06</v>
      </c>
      <c r="G50" s="56" t="s">
        <v>112</v>
      </c>
      <c r="H50" s="56">
        <v>40</v>
      </c>
      <c r="I50" s="69">
        <v>1</v>
      </c>
      <c r="J50" s="56"/>
      <c r="K50" s="56" t="s">
        <v>2</v>
      </c>
      <c r="L50" s="76">
        <f t="shared" si="10"/>
        <v>0.65149999999999997</v>
      </c>
    </row>
    <row r="51" spans="2:12" x14ac:dyDescent="0.35">
      <c r="B51" s="59" t="s">
        <v>542</v>
      </c>
      <c r="C51" s="56" t="s">
        <v>636</v>
      </c>
      <c r="D51" s="56" t="s">
        <v>632</v>
      </c>
      <c r="E51" s="56" t="s">
        <v>633</v>
      </c>
      <c r="F51" s="74">
        <v>27.58</v>
      </c>
      <c r="G51" s="56" t="s">
        <v>112</v>
      </c>
      <c r="H51" s="56">
        <f>11*16</f>
        <v>176</v>
      </c>
      <c r="I51" s="69">
        <v>0.9</v>
      </c>
      <c r="J51" s="56">
        <f>H51*I51</f>
        <v>158.4</v>
      </c>
      <c r="K51" s="56" t="s">
        <v>119</v>
      </c>
      <c r="L51" s="77">
        <f t="shared" si="7"/>
        <v>0.17411616161616159</v>
      </c>
    </row>
    <row r="52" spans="2:12" ht="15" thickBot="1" x14ac:dyDescent="0.4">
      <c r="B52" s="59" t="s">
        <v>542</v>
      </c>
      <c r="C52" s="56" t="s">
        <v>637</v>
      </c>
      <c r="D52" s="56" t="s">
        <v>638</v>
      </c>
      <c r="E52" s="56" t="s">
        <v>197</v>
      </c>
      <c r="F52" s="74">
        <v>31.78</v>
      </c>
      <c r="G52" s="56" t="s">
        <v>112</v>
      </c>
      <c r="H52" s="56">
        <f>10*16</f>
        <v>160</v>
      </c>
      <c r="I52" s="69">
        <v>0.81</v>
      </c>
      <c r="J52" s="56">
        <f>H52*I52</f>
        <v>129.60000000000002</v>
      </c>
      <c r="K52" s="56" t="s">
        <v>119</v>
      </c>
      <c r="L52" s="77">
        <f t="shared" si="7"/>
        <v>0.24521604938271602</v>
      </c>
    </row>
    <row r="53" spans="2:12" ht="15" thickBot="1" x14ac:dyDescent="0.4">
      <c r="B53" s="59" t="s">
        <v>542</v>
      </c>
      <c r="C53" s="56" t="s">
        <v>639</v>
      </c>
      <c r="D53" s="56" t="s">
        <v>640</v>
      </c>
      <c r="E53" s="56" t="s">
        <v>236</v>
      </c>
      <c r="F53" s="74">
        <v>18.899999999999999</v>
      </c>
      <c r="G53" s="56" t="s">
        <v>112</v>
      </c>
      <c r="H53" s="64">
        <f>2*5*16/1.5</f>
        <v>106.66666666666667</v>
      </c>
      <c r="I53" s="69">
        <v>1</v>
      </c>
      <c r="J53" s="64"/>
      <c r="K53" s="56" t="s">
        <v>2</v>
      </c>
      <c r="L53" s="76">
        <f t="shared" ref="L53:L58" si="11">F53/H53</f>
        <v>0.17718749999999997</v>
      </c>
    </row>
    <row r="54" spans="2:12" ht="15" thickBot="1" x14ac:dyDescent="0.4">
      <c r="B54" s="60" t="s">
        <v>542</v>
      </c>
      <c r="C54" s="61" t="s">
        <v>641</v>
      </c>
      <c r="D54" s="61" t="s">
        <v>594</v>
      </c>
      <c r="E54" s="61" t="s">
        <v>642</v>
      </c>
      <c r="F54" s="75">
        <v>27.33</v>
      </c>
      <c r="G54" s="61" t="s">
        <v>112</v>
      </c>
      <c r="H54" s="61">
        <f>12*16/2</f>
        <v>96</v>
      </c>
      <c r="I54" s="69">
        <v>1</v>
      </c>
      <c r="J54" s="61"/>
      <c r="K54" s="61" t="s">
        <v>2</v>
      </c>
      <c r="L54" s="76">
        <f t="shared" si="11"/>
        <v>0.28468749999999998</v>
      </c>
    </row>
    <row r="55" spans="2:12" ht="15" thickBot="1" x14ac:dyDescent="0.4">
      <c r="B55" s="57" t="s">
        <v>643</v>
      </c>
      <c r="C55" s="58" t="s">
        <v>644</v>
      </c>
      <c r="D55" s="58" t="s">
        <v>645</v>
      </c>
      <c r="E55" s="58" t="s">
        <v>646</v>
      </c>
      <c r="F55" s="73">
        <v>37.4</v>
      </c>
      <c r="G55" s="58" t="s">
        <v>112</v>
      </c>
      <c r="H55" s="58">
        <f>2*5*16/5</f>
        <v>32</v>
      </c>
      <c r="I55" s="69">
        <v>1</v>
      </c>
      <c r="J55" s="58"/>
      <c r="K55" s="58" t="s">
        <v>2</v>
      </c>
      <c r="L55" s="76">
        <f t="shared" si="11"/>
        <v>1.16875</v>
      </c>
    </row>
    <row r="56" spans="2:12" ht="15" thickBot="1" x14ac:dyDescent="0.4">
      <c r="B56" s="59" t="s">
        <v>643</v>
      </c>
      <c r="C56" s="56" t="s">
        <v>647</v>
      </c>
      <c r="D56" s="56" t="s">
        <v>648</v>
      </c>
      <c r="E56" s="56" t="s">
        <v>251</v>
      </c>
      <c r="F56" s="74">
        <v>5.15</v>
      </c>
      <c r="G56" s="56" t="s">
        <v>184</v>
      </c>
      <c r="H56" s="65">
        <f>16/6</f>
        <v>2.6666666666666665</v>
      </c>
      <c r="I56" s="69">
        <v>1</v>
      </c>
      <c r="J56" s="65"/>
      <c r="K56" s="56" t="s">
        <v>2</v>
      </c>
      <c r="L56" s="76">
        <f t="shared" si="11"/>
        <v>1.9312500000000001</v>
      </c>
    </row>
    <row r="57" spans="2:12" ht="15" thickBot="1" x14ac:dyDescent="0.4">
      <c r="B57" s="59" t="s">
        <v>643</v>
      </c>
      <c r="C57" s="56" t="s">
        <v>649</v>
      </c>
      <c r="D57" s="56" t="s">
        <v>650</v>
      </c>
      <c r="E57" s="56" t="s">
        <v>651</v>
      </c>
      <c r="F57" s="74">
        <v>31.98</v>
      </c>
      <c r="G57" s="56" t="s">
        <v>112</v>
      </c>
      <c r="H57" s="56">
        <f>2*20</f>
        <v>40</v>
      </c>
      <c r="I57" s="69">
        <v>1</v>
      </c>
      <c r="J57" s="56"/>
      <c r="K57" s="56" t="s">
        <v>2</v>
      </c>
      <c r="L57" s="76">
        <f t="shared" si="11"/>
        <v>0.79949999999999999</v>
      </c>
    </row>
    <row r="58" spans="2:12" x14ac:dyDescent="0.35">
      <c r="B58" s="59" t="s">
        <v>643</v>
      </c>
      <c r="C58" s="56" t="s">
        <v>652</v>
      </c>
      <c r="D58" s="56" t="s">
        <v>653</v>
      </c>
      <c r="E58" s="56" t="s">
        <v>179</v>
      </c>
      <c r="F58" s="74">
        <v>67.849999999999994</v>
      </c>
      <c r="G58" s="56" t="s">
        <v>112</v>
      </c>
      <c r="H58" s="56">
        <f>4*5*16/8</f>
        <v>40</v>
      </c>
      <c r="I58" s="69">
        <v>1</v>
      </c>
      <c r="J58" s="56"/>
      <c r="K58" s="56" t="s">
        <v>2</v>
      </c>
      <c r="L58" s="76">
        <f t="shared" si="11"/>
        <v>1.6962499999999998</v>
      </c>
    </row>
    <row r="59" spans="2:12" ht="15" thickBot="1" x14ac:dyDescent="0.4">
      <c r="B59" s="59" t="s">
        <v>643</v>
      </c>
      <c r="C59" s="56" t="s">
        <v>654</v>
      </c>
      <c r="D59" s="56" t="s">
        <v>594</v>
      </c>
      <c r="E59" s="56" t="s">
        <v>655</v>
      </c>
      <c r="F59" s="74">
        <v>58.17</v>
      </c>
      <c r="G59" s="56" t="s">
        <v>112</v>
      </c>
      <c r="H59" s="56">
        <f>4*10*16</f>
        <v>640</v>
      </c>
      <c r="I59" s="69">
        <v>0.87</v>
      </c>
      <c r="J59" s="56">
        <f>H59*I59</f>
        <v>556.79999999999995</v>
      </c>
      <c r="K59" s="56" t="s">
        <v>119</v>
      </c>
      <c r="L59" s="77">
        <f t="shared" si="7"/>
        <v>0.1044719827586207</v>
      </c>
    </row>
    <row r="60" spans="2:12" x14ac:dyDescent="0.35">
      <c r="B60" s="59" t="s">
        <v>643</v>
      </c>
      <c r="C60" s="56" t="s">
        <v>69</v>
      </c>
      <c r="D60" s="56" t="s">
        <v>594</v>
      </c>
      <c r="E60" s="56" t="s">
        <v>117</v>
      </c>
      <c r="F60" s="74">
        <v>32.39</v>
      </c>
      <c r="G60" s="56" t="s">
        <v>112</v>
      </c>
      <c r="H60" s="56">
        <f>15*16/5</f>
        <v>48</v>
      </c>
      <c r="I60" s="69">
        <v>1</v>
      </c>
      <c r="J60" s="56"/>
      <c r="K60" s="56" t="s">
        <v>2</v>
      </c>
      <c r="L60" s="76">
        <f t="shared" ref="L60" si="12">F60/H60</f>
        <v>0.67479166666666668</v>
      </c>
    </row>
    <row r="61" spans="2:12" ht="15" thickBot="1" x14ac:dyDescent="0.4">
      <c r="B61" s="59" t="s">
        <v>643</v>
      </c>
      <c r="C61" s="56" t="s">
        <v>656</v>
      </c>
      <c r="D61" s="56" t="s">
        <v>613</v>
      </c>
      <c r="E61" s="56" t="s">
        <v>236</v>
      </c>
      <c r="F61" s="74">
        <v>27.98</v>
      </c>
      <c r="G61" s="56" t="s">
        <v>112</v>
      </c>
      <c r="H61" s="56">
        <f>2*5*16</f>
        <v>160</v>
      </c>
      <c r="I61" s="69">
        <v>1</v>
      </c>
      <c r="J61" s="56">
        <f>H61*I61</f>
        <v>160</v>
      </c>
      <c r="K61" s="56" t="s">
        <v>119</v>
      </c>
      <c r="L61" s="77">
        <f t="shared" si="7"/>
        <v>0.174875</v>
      </c>
    </row>
    <row r="62" spans="2:12" x14ac:dyDescent="0.35">
      <c r="B62" s="59" t="s">
        <v>643</v>
      </c>
      <c r="C62" s="56" t="s">
        <v>657</v>
      </c>
      <c r="D62" s="56" t="s">
        <v>653</v>
      </c>
      <c r="E62" s="56" t="s">
        <v>658</v>
      </c>
      <c r="F62" s="74">
        <v>65.25</v>
      </c>
      <c r="G62" s="56" t="s">
        <v>112</v>
      </c>
      <c r="H62" s="56">
        <v>60</v>
      </c>
      <c r="I62" s="69">
        <v>0.75</v>
      </c>
      <c r="J62" s="56"/>
      <c r="K62" s="56" t="s">
        <v>2</v>
      </c>
      <c r="L62" s="76">
        <f t="shared" ref="L62" si="13">F62/H62</f>
        <v>1.0874999999999999</v>
      </c>
    </row>
    <row r="63" spans="2:12" x14ac:dyDescent="0.35">
      <c r="B63" s="59" t="s">
        <v>643</v>
      </c>
      <c r="C63" s="56" t="s">
        <v>659</v>
      </c>
      <c r="D63" s="56" t="s">
        <v>594</v>
      </c>
      <c r="E63" s="56" t="s">
        <v>655</v>
      </c>
      <c r="F63" s="74">
        <v>34</v>
      </c>
      <c r="G63" s="56" t="s">
        <v>112</v>
      </c>
      <c r="H63" s="56">
        <f>4*10*16</f>
        <v>640</v>
      </c>
      <c r="I63" s="69">
        <v>0.75</v>
      </c>
      <c r="J63" s="56">
        <f>H63*I63</f>
        <v>480</v>
      </c>
      <c r="K63" s="56" t="s">
        <v>119</v>
      </c>
      <c r="L63" s="77">
        <f t="shared" si="7"/>
        <v>7.0833333333333331E-2</v>
      </c>
    </row>
    <row r="64" spans="2:12" x14ac:dyDescent="0.35">
      <c r="B64" s="59" t="s">
        <v>643</v>
      </c>
      <c r="C64" s="56" t="s">
        <v>660</v>
      </c>
      <c r="D64" s="56" t="s">
        <v>661</v>
      </c>
      <c r="E64" s="56" t="s">
        <v>236</v>
      </c>
      <c r="F64" s="74">
        <v>9</v>
      </c>
      <c r="G64" s="56" t="s">
        <v>112</v>
      </c>
      <c r="H64" s="56">
        <f>2*5*16</f>
        <v>160</v>
      </c>
      <c r="I64" s="69">
        <v>0.71</v>
      </c>
      <c r="J64" s="56">
        <f t="shared" ref="J64:J66" si="14">H64*I64</f>
        <v>113.6</v>
      </c>
      <c r="K64" s="56" t="s">
        <v>119</v>
      </c>
      <c r="L64" s="77">
        <f t="shared" si="7"/>
        <v>7.9225352112676062E-2</v>
      </c>
    </row>
    <row r="65" spans="2:12" x14ac:dyDescent="0.35">
      <c r="B65" s="59" t="s">
        <v>643</v>
      </c>
      <c r="C65" s="56" t="s">
        <v>662</v>
      </c>
      <c r="D65" s="56" t="s">
        <v>594</v>
      </c>
      <c r="E65" s="56" t="s">
        <v>655</v>
      </c>
      <c r="F65" s="74">
        <v>63.47</v>
      </c>
      <c r="G65" s="56" t="s">
        <v>112</v>
      </c>
      <c r="H65" s="56">
        <f>4*10*16</f>
        <v>640</v>
      </c>
      <c r="I65" s="69">
        <v>0.7</v>
      </c>
      <c r="J65" s="56">
        <f t="shared" si="14"/>
        <v>448</v>
      </c>
      <c r="K65" s="56" t="s">
        <v>119</v>
      </c>
      <c r="L65" s="77">
        <f t="shared" si="7"/>
        <v>0.14167410714285714</v>
      </c>
    </row>
    <row r="66" spans="2:12" ht="15" thickBot="1" x14ac:dyDescent="0.4">
      <c r="B66" s="59" t="s">
        <v>643</v>
      </c>
      <c r="C66" s="56" t="s">
        <v>663</v>
      </c>
      <c r="D66" s="56" t="s">
        <v>594</v>
      </c>
      <c r="E66" s="56" t="s">
        <v>664</v>
      </c>
      <c r="F66" s="74">
        <v>1.42</v>
      </c>
      <c r="G66" s="56" t="s">
        <v>184</v>
      </c>
      <c r="H66" s="56">
        <f>16</f>
        <v>16</v>
      </c>
      <c r="I66" s="69">
        <v>0.89</v>
      </c>
      <c r="J66" s="56">
        <f t="shared" si="14"/>
        <v>14.24</v>
      </c>
      <c r="K66" s="56" t="s">
        <v>119</v>
      </c>
      <c r="L66" s="77">
        <f t="shared" si="7"/>
        <v>9.9719101123595499E-2</v>
      </c>
    </row>
    <row r="67" spans="2:12" x14ac:dyDescent="0.35">
      <c r="B67" s="59" t="s">
        <v>643</v>
      </c>
      <c r="C67" s="56" t="s">
        <v>665</v>
      </c>
      <c r="D67" s="56" t="s">
        <v>666</v>
      </c>
      <c r="E67" s="56" t="s">
        <v>667</v>
      </c>
      <c r="F67" s="74">
        <v>28.98</v>
      </c>
      <c r="G67" s="56" t="s">
        <v>112</v>
      </c>
      <c r="H67" s="56">
        <v>72</v>
      </c>
      <c r="I67" s="69"/>
      <c r="J67" s="56"/>
      <c r="K67" s="56" t="s">
        <v>2</v>
      </c>
      <c r="L67" s="76">
        <f t="shared" ref="L67" si="15">F67/H67</f>
        <v>0.40250000000000002</v>
      </c>
    </row>
    <row r="68" spans="2:12" x14ac:dyDescent="0.35">
      <c r="B68" s="59" t="s">
        <v>643</v>
      </c>
      <c r="C68" s="56" t="s">
        <v>668</v>
      </c>
      <c r="D68" s="56" t="s">
        <v>251</v>
      </c>
      <c r="E68" s="56" t="s">
        <v>669</v>
      </c>
      <c r="F68" s="74">
        <v>35.4</v>
      </c>
      <c r="G68" s="56" t="s">
        <v>112</v>
      </c>
      <c r="H68" s="56">
        <f>2*10*16</f>
        <v>320</v>
      </c>
      <c r="I68" s="69">
        <v>0.77</v>
      </c>
      <c r="J68" s="56">
        <f>H68*I68</f>
        <v>246.4</v>
      </c>
      <c r="K68" s="56" t="s">
        <v>119</v>
      </c>
      <c r="L68" s="77">
        <f t="shared" si="7"/>
        <v>0.14366883116883117</v>
      </c>
    </row>
    <row r="69" spans="2:12" ht="15" thickBot="1" x14ac:dyDescent="0.4">
      <c r="B69" s="60" t="s">
        <v>643</v>
      </c>
      <c r="C69" s="61" t="s">
        <v>90</v>
      </c>
      <c r="D69" s="61" t="s">
        <v>670</v>
      </c>
      <c r="E69" s="61" t="s">
        <v>671</v>
      </c>
      <c r="F69" s="75">
        <v>2.5099999999999998</v>
      </c>
      <c r="G69" s="61" t="s">
        <v>184</v>
      </c>
      <c r="H69" s="61">
        <v>16</v>
      </c>
      <c r="I69" s="70">
        <v>0.9</v>
      </c>
      <c r="J69" s="56">
        <f>H69*I69</f>
        <v>14.4</v>
      </c>
      <c r="K69" s="61" t="s">
        <v>119</v>
      </c>
      <c r="L69" s="77">
        <f t="shared" si="7"/>
        <v>0.17430555555555555</v>
      </c>
    </row>
    <row r="70" spans="2:12" x14ac:dyDescent="0.35">
      <c r="B70" s="57" t="s">
        <v>672</v>
      </c>
      <c r="C70" s="58" t="s">
        <v>673</v>
      </c>
      <c r="D70" s="58" t="s">
        <v>557</v>
      </c>
      <c r="E70" s="58" t="s">
        <v>117</v>
      </c>
      <c r="F70" s="73">
        <v>59.28</v>
      </c>
      <c r="G70" s="58" t="s">
        <v>112</v>
      </c>
      <c r="H70" s="58">
        <f>15*16/8</f>
        <v>30</v>
      </c>
      <c r="I70" s="67"/>
      <c r="J70" s="58"/>
      <c r="K70" s="58" t="s">
        <v>2</v>
      </c>
      <c r="L70" s="76">
        <f t="shared" ref="L70" si="16">F70/H70</f>
        <v>1.976</v>
      </c>
    </row>
    <row r="71" spans="2:12" x14ac:dyDescent="0.35">
      <c r="B71" s="59" t="s">
        <v>672</v>
      </c>
      <c r="C71" s="56" t="s">
        <v>674</v>
      </c>
      <c r="D71" s="56" t="s">
        <v>675</v>
      </c>
      <c r="E71" s="56" t="s">
        <v>676</v>
      </c>
      <c r="F71" s="74">
        <v>40.79</v>
      </c>
      <c r="G71" s="56" t="s">
        <v>112</v>
      </c>
      <c r="H71" s="56">
        <f>10*16</f>
        <v>160</v>
      </c>
      <c r="I71" s="69">
        <v>0.9</v>
      </c>
      <c r="J71" s="56">
        <f>H71*I71</f>
        <v>144</v>
      </c>
      <c r="K71" s="56" t="s">
        <v>119</v>
      </c>
      <c r="L71" s="77">
        <f t="shared" si="7"/>
        <v>0.28326388888888887</v>
      </c>
    </row>
    <row r="72" spans="2:12" ht="15" thickBot="1" x14ac:dyDescent="0.4">
      <c r="B72" s="59" t="s">
        <v>672</v>
      </c>
      <c r="C72" s="56" t="s">
        <v>677</v>
      </c>
      <c r="D72" s="56" t="s">
        <v>678</v>
      </c>
      <c r="E72" s="56" t="s">
        <v>179</v>
      </c>
      <c r="F72" s="74">
        <v>88.32</v>
      </c>
      <c r="G72" s="56" t="s">
        <v>112</v>
      </c>
      <c r="H72" s="56">
        <f>4*5*16</f>
        <v>320</v>
      </c>
      <c r="I72" s="69">
        <v>0.9</v>
      </c>
      <c r="J72" s="56">
        <f>H72*I72</f>
        <v>288</v>
      </c>
      <c r="K72" s="56" t="s">
        <v>119</v>
      </c>
      <c r="L72" s="77">
        <f t="shared" si="7"/>
        <v>0.30666666666666664</v>
      </c>
    </row>
    <row r="73" spans="2:12" ht="15" thickBot="1" x14ac:dyDescent="0.4">
      <c r="B73" s="59" t="s">
        <v>672</v>
      </c>
      <c r="C73" s="56" t="s">
        <v>679</v>
      </c>
      <c r="D73" s="56" t="s">
        <v>680</v>
      </c>
      <c r="E73" s="56" t="s">
        <v>236</v>
      </c>
      <c r="F73" s="74">
        <v>53.13</v>
      </c>
      <c r="G73" s="56" t="s">
        <v>112</v>
      </c>
      <c r="H73" s="56">
        <f>2*5*16/2</f>
        <v>80</v>
      </c>
      <c r="I73" s="69">
        <v>1</v>
      </c>
      <c r="J73" s="56"/>
      <c r="K73" s="56" t="s">
        <v>2</v>
      </c>
      <c r="L73" s="76">
        <f t="shared" ref="L73:L74" si="17">F73/H73</f>
        <v>0.66412500000000008</v>
      </c>
    </row>
    <row r="74" spans="2:12" x14ac:dyDescent="0.35">
      <c r="B74" s="59" t="s">
        <v>672</v>
      </c>
      <c r="C74" s="56" t="s">
        <v>681</v>
      </c>
      <c r="D74" s="56" t="s">
        <v>682</v>
      </c>
      <c r="E74" s="56" t="s">
        <v>197</v>
      </c>
      <c r="F74" s="74">
        <v>50.82</v>
      </c>
      <c r="G74" s="56" t="s">
        <v>112</v>
      </c>
      <c r="H74" s="56">
        <f>10*16/5</f>
        <v>32</v>
      </c>
      <c r="I74" s="69"/>
      <c r="J74" s="56"/>
      <c r="K74" s="56" t="s">
        <v>2</v>
      </c>
      <c r="L74" s="76">
        <f t="shared" si="17"/>
        <v>1.588125</v>
      </c>
    </row>
    <row r="75" spans="2:12" x14ac:dyDescent="0.35">
      <c r="B75" s="59" t="s">
        <v>672</v>
      </c>
      <c r="C75" s="56" t="s">
        <v>683</v>
      </c>
      <c r="D75" s="56" t="s">
        <v>251</v>
      </c>
      <c r="E75" s="56" t="s">
        <v>251</v>
      </c>
      <c r="F75" s="74">
        <v>7.99</v>
      </c>
      <c r="G75" s="56" t="s">
        <v>184</v>
      </c>
      <c r="H75" s="56">
        <v>16</v>
      </c>
      <c r="I75" s="69">
        <v>0.75</v>
      </c>
      <c r="J75" s="56">
        <f>H75*I75</f>
        <v>12</v>
      </c>
      <c r="K75" s="56" t="s">
        <v>119</v>
      </c>
      <c r="L75" s="77">
        <f t="shared" si="7"/>
        <v>0.66583333333333339</v>
      </c>
    </row>
    <row r="76" spans="2:12" ht="15" thickBot="1" x14ac:dyDescent="0.4">
      <c r="B76" s="59" t="s">
        <v>672</v>
      </c>
      <c r="C76" s="56" t="s">
        <v>684</v>
      </c>
      <c r="D76" s="56" t="s">
        <v>591</v>
      </c>
      <c r="E76" s="56" t="s">
        <v>251</v>
      </c>
      <c r="F76" s="74">
        <v>10.99</v>
      </c>
      <c r="G76" s="56" t="s">
        <v>184</v>
      </c>
      <c r="H76" s="56">
        <v>16</v>
      </c>
      <c r="I76" s="69">
        <v>0.75</v>
      </c>
      <c r="J76" s="56">
        <f>H76*I76</f>
        <v>12</v>
      </c>
      <c r="K76" s="56" t="s">
        <v>119</v>
      </c>
      <c r="L76" s="77">
        <f t="shared" si="7"/>
        <v>0.91583333333333339</v>
      </c>
    </row>
    <row r="77" spans="2:12" x14ac:dyDescent="0.35">
      <c r="B77" s="59" t="s">
        <v>672</v>
      </c>
      <c r="C77" s="56" t="s">
        <v>685</v>
      </c>
      <c r="D77" s="56" t="s">
        <v>680</v>
      </c>
      <c r="E77" s="56" t="s">
        <v>197</v>
      </c>
      <c r="F77" s="74">
        <v>82.39</v>
      </c>
      <c r="G77" s="56" t="s">
        <v>112</v>
      </c>
      <c r="H77" s="56">
        <f>10*16/4</f>
        <v>40</v>
      </c>
      <c r="I77" s="69"/>
      <c r="J77" s="56"/>
      <c r="K77" s="56" t="s">
        <v>2</v>
      </c>
      <c r="L77" s="76">
        <f t="shared" ref="L77" si="18">F77/H77</f>
        <v>2.0597500000000002</v>
      </c>
    </row>
    <row r="78" spans="2:12" x14ac:dyDescent="0.35">
      <c r="B78" s="59" t="s">
        <v>672</v>
      </c>
      <c r="C78" s="56" t="s">
        <v>686</v>
      </c>
      <c r="D78" s="56" t="s">
        <v>680</v>
      </c>
      <c r="E78" s="56" t="s">
        <v>676</v>
      </c>
      <c r="F78" s="74">
        <v>20.89</v>
      </c>
      <c r="G78" s="56" t="s">
        <v>112</v>
      </c>
      <c r="H78" s="56">
        <f>10*16</f>
        <v>160</v>
      </c>
      <c r="I78" s="69">
        <v>0.15</v>
      </c>
      <c r="J78" s="56">
        <f>H78*I78</f>
        <v>24</v>
      </c>
      <c r="K78" s="56" t="s">
        <v>119</v>
      </c>
      <c r="L78" s="77">
        <f t="shared" si="7"/>
        <v>0.87041666666666673</v>
      </c>
    </row>
    <row r="79" spans="2:12" ht="15" thickBot="1" x14ac:dyDescent="0.4">
      <c r="B79" s="59" t="s">
        <v>672</v>
      </c>
      <c r="C79" s="56" t="s">
        <v>687</v>
      </c>
      <c r="D79" s="56" t="s">
        <v>251</v>
      </c>
      <c r="E79" s="56" t="s">
        <v>688</v>
      </c>
      <c r="F79" s="74">
        <v>15.99</v>
      </c>
      <c r="G79" s="56" t="s">
        <v>112</v>
      </c>
      <c r="H79" s="56">
        <v>34</v>
      </c>
      <c r="I79" s="69">
        <v>0.6</v>
      </c>
      <c r="J79" s="56">
        <f>H79*I79</f>
        <v>20.399999999999999</v>
      </c>
      <c r="K79" s="56" t="s">
        <v>119</v>
      </c>
      <c r="L79" s="77">
        <f t="shared" si="7"/>
        <v>0.78382352941176481</v>
      </c>
    </row>
    <row r="80" spans="2:12" ht="15" thickBot="1" x14ac:dyDescent="0.4">
      <c r="B80" s="59" t="s">
        <v>672</v>
      </c>
      <c r="C80" s="56" t="s">
        <v>689</v>
      </c>
      <c r="D80" s="56" t="s">
        <v>690</v>
      </c>
      <c r="E80" s="56" t="s">
        <v>197</v>
      </c>
      <c r="F80" s="74">
        <v>34.96</v>
      </c>
      <c r="G80" s="56" t="s">
        <v>112</v>
      </c>
      <c r="H80" s="56">
        <f>10*16/2.5</f>
        <v>64</v>
      </c>
      <c r="I80" s="69"/>
      <c r="J80" s="56"/>
      <c r="K80" s="56" t="s">
        <v>2</v>
      </c>
      <c r="L80" s="76">
        <f t="shared" ref="L80:L82" si="19">F80/H80</f>
        <v>0.54625000000000001</v>
      </c>
    </row>
    <row r="81" spans="2:12" ht="15" thickBot="1" x14ac:dyDescent="0.4">
      <c r="B81" s="59" t="s">
        <v>672</v>
      </c>
      <c r="C81" s="56" t="s">
        <v>691</v>
      </c>
      <c r="D81" s="56" t="s">
        <v>591</v>
      </c>
      <c r="E81" s="56" t="s">
        <v>251</v>
      </c>
      <c r="F81" s="74">
        <v>7.49</v>
      </c>
      <c r="G81" s="56" t="s">
        <v>184</v>
      </c>
      <c r="H81" s="56">
        <v>16</v>
      </c>
      <c r="I81" s="69">
        <v>0.88</v>
      </c>
      <c r="J81" s="56">
        <f>H81*I81</f>
        <v>14.08</v>
      </c>
      <c r="K81" s="56" t="s">
        <v>119</v>
      </c>
      <c r="L81" s="76">
        <f t="shared" si="19"/>
        <v>0.46812500000000001</v>
      </c>
    </row>
    <row r="82" spans="2:12" x14ac:dyDescent="0.35">
      <c r="B82" s="59" t="s">
        <v>672</v>
      </c>
      <c r="C82" s="56" t="s">
        <v>692</v>
      </c>
      <c r="D82" s="56" t="s">
        <v>680</v>
      </c>
      <c r="E82" s="56" t="s">
        <v>197</v>
      </c>
      <c r="F82" s="74">
        <v>61.89</v>
      </c>
      <c r="G82" s="56" t="s">
        <v>112</v>
      </c>
      <c r="H82" s="56">
        <f>10*16/4</f>
        <v>40</v>
      </c>
      <c r="I82" s="69">
        <v>0.88</v>
      </c>
      <c r="J82" s="56"/>
      <c r="K82" s="56" t="s">
        <v>2</v>
      </c>
      <c r="L82" s="76">
        <f t="shared" si="19"/>
        <v>1.54725</v>
      </c>
    </row>
    <row r="83" spans="2:12" x14ac:dyDescent="0.35">
      <c r="B83" s="59" t="s">
        <v>672</v>
      </c>
      <c r="C83" s="56" t="s">
        <v>693</v>
      </c>
      <c r="D83" s="56" t="s">
        <v>690</v>
      </c>
      <c r="E83" s="56" t="s">
        <v>200</v>
      </c>
      <c r="F83" s="74">
        <v>70.94</v>
      </c>
      <c r="G83" s="56" t="s">
        <v>112</v>
      </c>
      <c r="H83" s="56">
        <f>4*2.5*16</f>
        <v>160</v>
      </c>
      <c r="I83" s="69">
        <v>0.81</v>
      </c>
      <c r="J83" s="56">
        <f>H83*I83</f>
        <v>129.60000000000002</v>
      </c>
      <c r="K83" s="56" t="s">
        <v>119</v>
      </c>
      <c r="L83" s="77">
        <f t="shared" si="7"/>
        <v>0.54737654320987639</v>
      </c>
    </row>
    <row r="84" spans="2:12" x14ac:dyDescent="0.35">
      <c r="B84" s="59" t="s">
        <v>672</v>
      </c>
      <c r="C84" s="56" t="s">
        <v>694</v>
      </c>
      <c r="D84" s="56" t="s">
        <v>680</v>
      </c>
      <c r="E84" s="56" t="s">
        <v>695</v>
      </c>
      <c r="F84" s="74">
        <v>65.02</v>
      </c>
      <c r="G84" s="56" t="s">
        <v>112</v>
      </c>
      <c r="H84" s="56">
        <f>5*2*16</f>
        <v>160</v>
      </c>
      <c r="I84" s="69">
        <v>0.81</v>
      </c>
      <c r="J84" s="56">
        <f t="shared" ref="J84:J88" si="20">H84*I84</f>
        <v>129.60000000000002</v>
      </c>
      <c r="K84" s="56" t="s">
        <v>119</v>
      </c>
      <c r="L84" s="77">
        <f>F84/J84</f>
        <v>0.50169753086419744</v>
      </c>
    </row>
    <row r="85" spans="2:12" x14ac:dyDescent="0.35">
      <c r="B85" s="59" t="s">
        <v>672</v>
      </c>
      <c r="C85" s="56" t="s">
        <v>696</v>
      </c>
      <c r="D85" s="56" t="s">
        <v>680</v>
      </c>
      <c r="E85" s="56" t="s">
        <v>695</v>
      </c>
      <c r="F85" s="74">
        <v>79.39</v>
      </c>
      <c r="G85" s="56" t="s">
        <v>112</v>
      </c>
      <c r="H85" s="56">
        <f>5*2*16</f>
        <v>160</v>
      </c>
      <c r="I85" s="69">
        <v>0.81</v>
      </c>
      <c r="J85" s="56">
        <f t="shared" si="20"/>
        <v>129.60000000000002</v>
      </c>
      <c r="K85" s="56" t="s">
        <v>119</v>
      </c>
      <c r="L85" s="77">
        <f t="shared" ref="L85:L95" si="21">F85/J85</f>
        <v>0.61257716049382704</v>
      </c>
    </row>
    <row r="86" spans="2:12" x14ac:dyDescent="0.35">
      <c r="B86" s="59" t="s">
        <v>672</v>
      </c>
      <c r="C86" s="56" t="s">
        <v>697</v>
      </c>
      <c r="D86" s="56" t="s">
        <v>680</v>
      </c>
      <c r="E86" s="56" t="s">
        <v>695</v>
      </c>
      <c r="F86" s="74">
        <v>55.84</v>
      </c>
      <c r="G86" s="56" t="s">
        <v>112</v>
      </c>
      <c r="H86" s="56">
        <f>5*2*16</f>
        <v>160</v>
      </c>
      <c r="I86" s="69">
        <v>0.81</v>
      </c>
      <c r="J86" s="56">
        <f t="shared" si="20"/>
        <v>129.60000000000002</v>
      </c>
      <c r="K86" s="56" t="s">
        <v>119</v>
      </c>
      <c r="L86" s="77">
        <f t="shared" si="21"/>
        <v>0.43086419753086413</v>
      </c>
    </row>
    <row r="87" spans="2:12" x14ac:dyDescent="0.35">
      <c r="B87" s="59" t="s">
        <v>672</v>
      </c>
      <c r="C87" s="56" t="s">
        <v>698</v>
      </c>
      <c r="D87" s="56" t="s">
        <v>680</v>
      </c>
      <c r="E87" s="56" t="s">
        <v>695</v>
      </c>
      <c r="F87" s="74">
        <v>50.47</v>
      </c>
      <c r="G87" s="56" t="s">
        <v>112</v>
      </c>
      <c r="H87" s="56">
        <f>5*2*16</f>
        <v>160</v>
      </c>
      <c r="I87" s="69">
        <v>0.81</v>
      </c>
      <c r="J87" s="56">
        <f t="shared" si="20"/>
        <v>129.60000000000002</v>
      </c>
      <c r="K87" s="56" t="s">
        <v>119</v>
      </c>
      <c r="L87" s="77">
        <f t="shared" si="21"/>
        <v>0.38942901234567895</v>
      </c>
    </row>
    <row r="88" spans="2:12" ht="15" thickBot="1" x14ac:dyDescent="0.4">
      <c r="B88" s="59" t="s">
        <v>672</v>
      </c>
      <c r="C88" s="56" t="s">
        <v>699</v>
      </c>
      <c r="D88" s="56" t="s">
        <v>700</v>
      </c>
      <c r="E88" s="56" t="s">
        <v>251</v>
      </c>
      <c r="F88" s="74">
        <v>2.99</v>
      </c>
      <c r="G88" s="56" t="s">
        <v>184</v>
      </c>
      <c r="H88" s="56">
        <v>16</v>
      </c>
      <c r="I88" s="69">
        <v>0.88</v>
      </c>
      <c r="J88" s="56">
        <f t="shared" si="20"/>
        <v>14.08</v>
      </c>
      <c r="K88" s="56" t="s">
        <v>119</v>
      </c>
      <c r="L88" s="77">
        <f t="shared" si="21"/>
        <v>0.21235795454545456</v>
      </c>
    </row>
    <row r="89" spans="2:12" x14ac:dyDescent="0.35">
      <c r="B89" s="59" t="s">
        <v>672</v>
      </c>
      <c r="C89" s="56" t="s">
        <v>701</v>
      </c>
      <c r="D89" s="56" t="s">
        <v>702</v>
      </c>
      <c r="E89" s="56" t="s">
        <v>197</v>
      </c>
      <c r="F89" s="74">
        <v>39.380000000000003</v>
      </c>
      <c r="G89" s="56" t="s">
        <v>112</v>
      </c>
      <c r="H89" s="64">
        <f>10*16/6</f>
        <v>26.666666666666668</v>
      </c>
      <c r="I89" s="69"/>
      <c r="J89" s="64"/>
      <c r="K89" s="56" t="s">
        <v>2</v>
      </c>
      <c r="L89" s="76">
        <f t="shared" ref="L89" si="22">F89/H89</f>
        <v>1.47675</v>
      </c>
    </row>
    <row r="90" spans="2:12" x14ac:dyDescent="0.35">
      <c r="B90" s="59" t="s">
        <v>672</v>
      </c>
      <c r="C90" s="56" t="s">
        <v>703</v>
      </c>
      <c r="D90" s="56" t="s">
        <v>591</v>
      </c>
      <c r="E90" s="56"/>
      <c r="F90" s="74">
        <v>8.99</v>
      </c>
      <c r="G90" s="56" t="s">
        <v>184</v>
      </c>
      <c r="H90" s="56">
        <v>16</v>
      </c>
      <c r="I90" s="69">
        <v>0.59</v>
      </c>
      <c r="J90" s="56">
        <f>H90*I90</f>
        <v>9.44</v>
      </c>
      <c r="K90" s="56" t="s">
        <v>119</v>
      </c>
      <c r="L90" s="77">
        <f t="shared" si="21"/>
        <v>0.95233050847457634</v>
      </c>
    </row>
    <row r="91" spans="2:12" x14ac:dyDescent="0.35">
      <c r="B91" s="59" t="s">
        <v>672</v>
      </c>
      <c r="C91" s="56" t="s">
        <v>704</v>
      </c>
      <c r="D91" s="56" t="s">
        <v>251</v>
      </c>
      <c r="E91" s="56" t="s">
        <v>705</v>
      </c>
      <c r="F91" s="74">
        <v>15.99</v>
      </c>
      <c r="G91" s="56" t="s">
        <v>184</v>
      </c>
      <c r="H91" s="56">
        <v>16</v>
      </c>
      <c r="I91" s="69">
        <v>0.75</v>
      </c>
      <c r="J91" s="56">
        <f t="shared" ref="J91:J92" si="23">H91*I91</f>
        <v>12</v>
      </c>
      <c r="K91" s="56" t="s">
        <v>119</v>
      </c>
      <c r="L91" s="77">
        <f t="shared" si="21"/>
        <v>1.3325</v>
      </c>
    </row>
    <row r="92" spans="2:12" ht="15" thickBot="1" x14ac:dyDescent="0.4">
      <c r="B92" s="59" t="s">
        <v>672</v>
      </c>
      <c r="C92" s="56" t="s">
        <v>706</v>
      </c>
      <c r="D92" s="56" t="s">
        <v>591</v>
      </c>
      <c r="E92" s="56"/>
      <c r="F92" s="74">
        <v>7.99</v>
      </c>
      <c r="G92" s="56" t="s">
        <v>184</v>
      </c>
      <c r="H92" s="56">
        <v>16</v>
      </c>
      <c r="I92" s="69">
        <v>0.9</v>
      </c>
      <c r="J92" s="56">
        <f t="shared" si="23"/>
        <v>14.4</v>
      </c>
      <c r="K92" s="56" t="s">
        <v>119</v>
      </c>
      <c r="L92" s="77">
        <f t="shared" si="21"/>
        <v>0.55486111111111114</v>
      </c>
    </row>
    <row r="93" spans="2:12" x14ac:dyDescent="0.35">
      <c r="B93" s="59" t="s">
        <v>672</v>
      </c>
      <c r="C93" s="56" t="s">
        <v>707</v>
      </c>
      <c r="D93" s="56" t="s">
        <v>557</v>
      </c>
      <c r="E93" s="56" t="s">
        <v>197</v>
      </c>
      <c r="F93" s="74">
        <v>60.69</v>
      </c>
      <c r="G93" s="56" t="s">
        <v>112</v>
      </c>
      <c r="H93" s="56">
        <f>10*16/4</f>
        <v>40</v>
      </c>
      <c r="I93" s="69"/>
      <c r="J93" s="56"/>
      <c r="K93" s="56" t="s">
        <v>2</v>
      </c>
      <c r="L93" s="76">
        <f t="shared" ref="L93" si="24">F93/H93</f>
        <v>1.51725</v>
      </c>
    </row>
    <row r="94" spans="2:12" x14ac:dyDescent="0.35">
      <c r="B94" s="59" t="s">
        <v>672</v>
      </c>
      <c r="C94" s="56" t="s">
        <v>708</v>
      </c>
      <c r="D94" s="56" t="s">
        <v>591</v>
      </c>
      <c r="E94" s="56" t="s">
        <v>709</v>
      </c>
      <c r="F94" s="74">
        <v>7.99</v>
      </c>
      <c r="G94" s="56" t="s">
        <v>184</v>
      </c>
      <c r="H94" s="56">
        <v>16</v>
      </c>
      <c r="I94" s="69">
        <v>0.9</v>
      </c>
      <c r="J94" s="56">
        <f>H94*I94</f>
        <v>14.4</v>
      </c>
      <c r="K94" s="56" t="s">
        <v>119</v>
      </c>
      <c r="L94" s="77">
        <f t="shared" si="21"/>
        <v>0.55486111111111114</v>
      </c>
    </row>
    <row r="95" spans="2:12" ht="15" thickBot="1" x14ac:dyDescent="0.4">
      <c r="B95" s="59" t="s">
        <v>672</v>
      </c>
      <c r="C95" s="56" t="s">
        <v>710</v>
      </c>
      <c r="D95" s="56" t="s">
        <v>711</v>
      </c>
      <c r="E95" s="56" t="s">
        <v>712</v>
      </c>
      <c r="F95" s="74">
        <v>54.18</v>
      </c>
      <c r="G95" s="56" t="s">
        <v>112</v>
      </c>
      <c r="H95" s="56">
        <f>6*43</f>
        <v>258</v>
      </c>
      <c r="I95" s="69">
        <v>1</v>
      </c>
      <c r="J95" s="56">
        <f>H95*I95</f>
        <v>258</v>
      </c>
      <c r="K95" s="56" t="s">
        <v>119</v>
      </c>
      <c r="L95" s="77">
        <f t="shared" si="21"/>
        <v>0.21</v>
      </c>
    </row>
    <row r="96" spans="2:12" ht="15" thickBot="1" x14ac:dyDescent="0.4">
      <c r="B96" s="60" t="s">
        <v>672</v>
      </c>
      <c r="C96" s="61" t="s">
        <v>713</v>
      </c>
      <c r="D96" s="61" t="s">
        <v>680</v>
      </c>
      <c r="E96" s="61" t="s">
        <v>197</v>
      </c>
      <c r="F96" s="75">
        <v>66.64</v>
      </c>
      <c r="G96" s="61" t="s">
        <v>112</v>
      </c>
      <c r="H96" s="61">
        <f>10*16/4</f>
        <v>40</v>
      </c>
      <c r="I96" s="70"/>
      <c r="J96" s="61"/>
      <c r="K96" s="61" t="s">
        <v>2</v>
      </c>
      <c r="L96" s="76">
        <f t="shared" ref="L96" si="25">F96/H96</f>
        <v>1.6659999999999999</v>
      </c>
    </row>
    <row r="97" spans="2:12" ht="15" thickBot="1" x14ac:dyDescent="0.4">
      <c r="B97" s="59" t="s">
        <v>500</v>
      </c>
      <c r="C97" s="56" t="s">
        <v>714</v>
      </c>
      <c r="D97" s="56" t="s">
        <v>591</v>
      </c>
      <c r="E97" s="56" t="s">
        <v>251</v>
      </c>
      <c r="F97" s="56">
        <v>15.99</v>
      </c>
      <c r="G97" s="56" t="s">
        <v>184</v>
      </c>
      <c r="H97" s="56">
        <v>16</v>
      </c>
      <c r="I97" s="53" t="s">
        <v>715</v>
      </c>
      <c r="J97" s="56"/>
      <c r="K97" s="56" t="s">
        <v>119</v>
      </c>
      <c r="L97" s="76">
        <f t="shared" ref="L97:L105" si="26">F97/H97</f>
        <v>0.99937500000000001</v>
      </c>
    </row>
    <row r="98" spans="2:12" ht="15" thickBot="1" x14ac:dyDescent="0.4">
      <c r="B98" s="59" t="s">
        <v>500</v>
      </c>
      <c r="C98" s="56" t="s">
        <v>716</v>
      </c>
      <c r="D98" s="56" t="s">
        <v>717</v>
      </c>
      <c r="E98" s="56"/>
      <c r="F98" s="56">
        <v>4.99</v>
      </c>
      <c r="G98" s="56" t="s">
        <v>184</v>
      </c>
      <c r="H98" s="56">
        <v>16</v>
      </c>
      <c r="I98" s="53">
        <v>0.64</v>
      </c>
      <c r="J98" s="56"/>
      <c r="K98" s="56" t="s">
        <v>119</v>
      </c>
      <c r="L98" s="76">
        <f t="shared" si="26"/>
        <v>0.31187500000000001</v>
      </c>
    </row>
    <row r="99" spans="2:12" ht="15" thickBot="1" x14ac:dyDescent="0.4">
      <c r="B99" s="59" t="s">
        <v>500</v>
      </c>
      <c r="C99" s="56" t="s">
        <v>718</v>
      </c>
      <c r="D99" s="56" t="s">
        <v>570</v>
      </c>
      <c r="E99" s="56" t="s">
        <v>719</v>
      </c>
      <c r="F99" s="56">
        <v>4.05</v>
      </c>
      <c r="G99" s="56" t="s">
        <v>184</v>
      </c>
      <c r="H99" s="56">
        <v>160</v>
      </c>
      <c r="I99" s="53"/>
      <c r="J99" s="56"/>
      <c r="K99" s="56" t="s">
        <v>119</v>
      </c>
      <c r="L99" s="76">
        <f t="shared" si="26"/>
        <v>2.5312499999999998E-2</v>
      </c>
    </row>
    <row r="100" spans="2:12" ht="15" thickBot="1" x14ac:dyDescent="0.4">
      <c r="B100" s="59" t="s">
        <v>500</v>
      </c>
      <c r="C100" s="56" t="s">
        <v>720</v>
      </c>
      <c r="D100" s="56" t="s">
        <v>591</v>
      </c>
      <c r="E100" s="56" t="s">
        <v>721</v>
      </c>
      <c r="F100" s="56">
        <v>0.99</v>
      </c>
      <c r="G100" s="56" t="s">
        <v>184</v>
      </c>
      <c r="H100" s="56">
        <v>16</v>
      </c>
      <c r="I100" s="53">
        <v>0.87</v>
      </c>
      <c r="J100" s="56"/>
      <c r="K100" s="56" t="s">
        <v>119</v>
      </c>
      <c r="L100" s="76">
        <f t="shared" si="26"/>
        <v>6.1874999999999999E-2</v>
      </c>
    </row>
    <row r="101" spans="2:12" ht="15" thickBot="1" x14ac:dyDescent="0.4">
      <c r="B101" s="59" t="s">
        <v>500</v>
      </c>
      <c r="C101" s="56" t="s">
        <v>722</v>
      </c>
      <c r="D101" s="56" t="s">
        <v>591</v>
      </c>
      <c r="E101" s="56" t="s">
        <v>251</v>
      </c>
      <c r="F101" s="56">
        <v>1.79</v>
      </c>
      <c r="G101" s="56" t="s">
        <v>184</v>
      </c>
      <c r="H101" s="56">
        <v>16</v>
      </c>
      <c r="I101" s="53"/>
      <c r="J101" s="56"/>
      <c r="K101" s="56" t="s">
        <v>119</v>
      </c>
      <c r="L101" s="76">
        <f t="shared" si="26"/>
        <v>0.111875</v>
      </c>
    </row>
    <row r="102" spans="2:12" ht="15" thickBot="1" x14ac:dyDescent="0.4">
      <c r="B102" s="59" t="s">
        <v>500</v>
      </c>
      <c r="C102" s="56" t="s">
        <v>723</v>
      </c>
      <c r="D102" s="56" t="s">
        <v>724</v>
      </c>
      <c r="E102" s="56" t="s">
        <v>725</v>
      </c>
      <c r="F102" s="56">
        <v>0.9</v>
      </c>
      <c r="G102" s="56" t="s">
        <v>184</v>
      </c>
      <c r="H102" s="56">
        <v>480</v>
      </c>
      <c r="I102" s="53"/>
      <c r="J102" s="56"/>
      <c r="K102" s="56" t="s">
        <v>119</v>
      </c>
      <c r="L102" s="76">
        <f t="shared" si="26"/>
        <v>1.8750000000000001E-3</v>
      </c>
    </row>
    <row r="103" spans="2:12" ht="15" thickBot="1" x14ac:dyDescent="0.4">
      <c r="B103" s="59" t="s">
        <v>500</v>
      </c>
      <c r="C103" s="56" t="s">
        <v>726</v>
      </c>
      <c r="D103" s="56" t="s">
        <v>594</v>
      </c>
      <c r="E103" s="56" t="s">
        <v>725</v>
      </c>
      <c r="F103" s="56">
        <v>31.35</v>
      </c>
      <c r="G103" s="56" t="s">
        <v>112</v>
      </c>
      <c r="H103" s="56">
        <v>480</v>
      </c>
      <c r="I103" s="53"/>
      <c r="J103" s="56"/>
      <c r="K103" s="56" t="s">
        <v>119</v>
      </c>
      <c r="L103" s="76">
        <f t="shared" si="26"/>
        <v>6.5312500000000009E-2</v>
      </c>
    </row>
    <row r="104" spans="2:12" ht="15" thickBot="1" x14ac:dyDescent="0.4">
      <c r="B104" s="59" t="s">
        <v>500</v>
      </c>
      <c r="C104" s="56" t="s">
        <v>727</v>
      </c>
      <c r="D104" s="56" t="s">
        <v>728</v>
      </c>
      <c r="E104" s="56" t="s">
        <v>729</v>
      </c>
      <c r="F104" s="56">
        <v>2.71</v>
      </c>
      <c r="G104" s="56" t="s">
        <v>184</v>
      </c>
      <c r="H104" s="56">
        <v>480</v>
      </c>
      <c r="I104" s="53">
        <v>0.88</v>
      </c>
      <c r="J104" s="56"/>
      <c r="K104" s="56" t="s">
        <v>119</v>
      </c>
      <c r="L104" s="76">
        <f t="shared" si="26"/>
        <v>5.6458333333333334E-3</v>
      </c>
    </row>
    <row r="105" spans="2:12" x14ac:dyDescent="0.35">
      <c r="B105" s="59" t="s">
        <v>500</v>
      </c>
      <c r="C105" s="56" t="s">
        <v>730</v>
      </c>
      <c r="D105" s="56" t="s">
        <v>251</v>
      </c>
      <c r="E105" s="56" t="s">
        <v>251</v>
      </c>
      <c r="F105" s="56">
        <v>4.5</v>
      </c>
      <c r="G105" s="56" t="s">
        <v>184</v>
      </c>
      <c r="H105" s="56">
        <v>16</v>
      </c>
      <c r="I105" s="53" t="s">
        <v>715</v>
      </c>
      <c r="J105" s="56"/>
      <c r="K105" s="56" t="s">
        <v>119</v>
      </c>
      <c r="L105" s="76">
        <f t="shared" si="26"/>
        <v>0.28125</v>
      </c>
    </row>
  </sheetData>
  <sortState xmlns:xlrd2="http://schemas.microsoft.com/office/spreadsheetml/2017/richdata2" ref="B2:J96">
    <sortCondition ref="B2:B9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B1:L75"/>
  <sheetViews>
    <sheetView topLeftCell="C37" workbookViewId="0">
      <selection activeCell="L49" sqref="L49"/>
    </sheetView>
  </sheetViews>
  <sheetFormatPr defaultRowHeight="14.5" x14ac:dyDescent="0.35"/>
  <cols>
    <col min="3" max="3" width="58.1796875" customWidth="1"/>
    <col min="4" max="4" width="21.26953125" customWidth="1"/>
    <col min="9" max="9" width="9.1796875" style="43"/>
    <col min="10" max="10" width="9.1796875" style="2"/>
    <col min="12" max="12" width="8.7265625" style="44"/>
  </cols>
  <sheetData>
    <row r="1" spans="2:12" ht="15" thickBot="1" x14ac:dyDescent="0.4"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172</v>
      </c>
      <c r="G1" s="55" t="s">
        <v>731</v>
      </c>
      <c r="H1" s="55" t="s">
        <v>106</v>
      </c>
      <c r="I1" s="68" t="s">
        <v>540</v>
      </c>
      <c r="J1" s="55"/>
      <c r="K1" s="55" t="s">
        <v>105</v>
      </c>
      <c r="L1" s="72" t="s">
        <v>107</v>
      </c>
    </row>
    <row r="2" spans="2:12" ht="15" thickBot="1" x14ac:dyDescent="0.4">
      <c r="B2" s="57" t="s">
        <v>732</v>
      </c>
      <c r="C2" s="58" t="s">
        <v>733</v>
      </c>
      <c r="D2" s="58"/>
      <c r="E2" s="58" t="s">
        <v>734</v>
      </c>
      <c r="F2" s="58">
        <v>23.85</v>
      </c>
      <c r="G2" s="58" t="s">
        <v>112</v>
      </c>
      <c r="H2" s="58">
        <v>88</v>
      </c>
      <c r="I2" s="67">
        <v>0.4</v>
      </c>
      <c r="J2" s="58">
        <f>H2*I2</f>
        <v>35.200000000000003</v>
      </c>
      <c r="K2" s="58" t="s">
        <v>2</v>
      </c>
      <c r="L2" s="76">
        <f>F2/J2</f>
        <v>0.67755681818181812</v>
      </c>
    </row>
    <row r="3" spans="2:12" ht="15" thickBot="1" x14ac:dyDescent="0.4">
      <c r="B3" s="59" t="s">
        <v>732</v>
      </c>
      <c r="C3" s="56" t="s">
        <v>735</v>
      </c>
      <c r="D3" s="56" t="s">
        <v>557</v>
      </c>
      <c r="E3" s="56" t="s">
        <v>734</v>
      </c>
      <c r="F3" s="56">
        <v>45.36</v>
      </c>
      <c r="G3" s="56" t="s">
        <v>112</v>
      </c>
      <c r="H3" s="56">
        <v>88</v>
      </c>
      <c r="I3" s="67">
        <v>0.4</v>
      </c>
      <c r="J3" s="58">
        <f t="shared" ref="J3:J15" si="0">H3*I3</f>
        <v>35.200000000000003</v>
      </c>
      <c r="K3" s="56" t="s">
        <v>2</v>
      </c>
      <c r="L3" s="76">
        <f t="shared" ref="L3:L42" si="1">F3/J3</f>
        <v>1.2886363636363636</v>
      </c>
    </row>
    <row r="4" spans="2:12" ht="15" thickBot="1" x14ac:dyDescent="0.4">
      <c r="B4" s="59" t="s">
        <v>732</v>
      </c>
      <c r="C4" s="56" t="s">
        <v>736</v>
      </c>
      <c r="D4" s="56"/>
      <c r="E4" s="56" t="s">
        <v>737</v>
      </c>
      <c r="F4" s="56">
        <v>7.58</v>
      </c>
      <c r="G4" s="56" t="s">
        <v>2</v>
      </c>
      <c r="H4" s="56">
        <v>88</v>
      </c>
      <c r="I4" s="67">
        <v>0.4</v>
      </c>
      <c r="J4" s="71">
        <f t="shared" si="0"/>
        <v>35.200000000000003</v>
      </c>
      <c r="K4" s="56"/>
      <c r="L4" s="76">
        <f t="shared" si="1"/>
        <v>0.21534090909090908</v>
      </c>
    </row>
    <row r="5" spans="2:12" ht="15" thickBot="1" x14ac:dyDescent="0.4">
      <c r="B5" s="59" t="s">
        <v>732</v>
      </c>
      <c r="C5" s="56" t="s">
        <v>31</v>
      </c>
      <c r="D5" s="56" t="s">
        <v>557</v>
      </c>
      <c r="E5" s="56" t="s">
        <v>738</v>
      </c>
      <c r="F5" s="56">
        <v>50.38</v>
      </c>
      <c r="G5" s="56" t="s">
        <v>112</v>
      </c>
      <c r="H5" s="56">
        <v>48</v>
      </c>
      <c r="I5" s="69">
        <v>0.63</v>
      </c>
      <c r="J5" s="71">
        <f t="shared" si="0"/>
        <v>30.240000000000002</v>
      </c>
      <c r="K5" s="56" t="s">
        <v>2</v>
      </c>
      <c r="L5" s="76">
        <f t="shared" si="1"/>
        <v>1.6660052910052909</v>
      </c>
    </row>
    <row r="6" spans="2:12" ht="15" thickBot="1" x14ac:dyDescent="0.4">
      <c r="B6" s="59" t="s">
        <v>732</v>
      </c>
      <c r="C6" s="56" t="s">
        <v>739</v>
      </c>
      <c r="D6" s="56" t="s">
        <v>557</v>
      </c>
      <c r="E6" s="56" t="s">
        <v>740</v>
      </c>
      <c r="F6" s="66">
        <v>26.32</v>
      </c>
      <c r="G6" s="56" t="s">
        <v>112</v>
      </c>
      <c r="H6" s="56">
        <f>40*16</f>
        <v>640</v>
      </c>
      <c r="I6" s="69">
        <v>0.66</v>
      </c>
      <c r="J6" s="71">
        <f t="shared" si="0"/>
        <v>422.40000000000003</v>
      </c>
      <c r="K6" s="56"/>
      <c r="L6" s="76">
        <f t="shared" si="1"/>
        <v>6.2310606060606059E-2</v>
      </c>
    </row>
    <row r="7" spans="2:12" ht="15" thickBot="1" x14ac:dyDescent="0.4">
      <c r="B7" s="59" t="s">
        <v>732</v>
      </c>
      <c r="C7" s="56" t="s">
        <v>741</v>
      </c>
      <c r="D7" s="56"/>
      <c r="E7" s="56" t="s">
        <v>280</v>
      </c>
      <c r="F7" s="56">
        <v>18.43</v>
      </c>
      <c r="G7" s="56"/>
      <c r="H7" s="56">
        <f>25*16</f>
        <v>400</v>
      </c>
      <c r="I7" s="69">
        <v>0.91</v>
      </c>
      <c r="J7" s="71">
        <f t="shared" si="0"/>
        <v>364</v>
      </c>
      <c r="K7" s="56"/>
      <c r="L7" s="76">
        <f t="shared" si="1"/>
        <v>5.0631868131868131E-2</v>
      </c>
    </row>
    <row r="8" spans="2:12" x14ac:dyDescent="0.35">
      <c r="B8" s="59" t="s">
        <v>732</v>
      </c>
      <c r="C8" s="56" t="s">
        <v>742</v>
      </c>
      <c r="D8" s="56" t="s">
        <v>743</v>
      </c>
      <c r="E8" s="56" t="s">
        <v>744</v>
      </c>
      <c r="F8" s="56">
        <v>28.07</v>
      </c>
      <c r="G8" s="56" t="s">
        <v>112</v>
      </c>
      <c r="H8" s="56">
        <f>12*6</f>
        <v>72</v>
      </c>
      <c r="I8" s="69">
        <v>0.93</v>
      </c>
      <c r="J8" s="71">
        <f t="shared" si="0"/>
        <v>66.960000000000008</v>
      </c>
      <c r="K8" s="56" t="s">
        <v>119</v>
      </c>
      <c r="L8" s="76">
        <f t="shared" si="1"/>
        <v>0.419205495818399</v>
      </c>
    </row>
    <row r="9" spans="2:12" x14ac:dyDescent="0.35">
      <c r="B9" s="59" t="s">
        <v>732</v>
      </c>
      <c r="C9" s="56" t="s">
        <v>745</v>
      </c>
      <c r="D9" s="56" t="s">
        <v>743</v>
      </c>
      <c r="E9" s="56" t="s">
        <v>744</v>
      </c>
      <c r="F9" s="56">
        <v>35.29</v>
      </c>
      <c r="G9" s="56" t="s">
        <v>112</v>
      </c>
      <c r="H9" s="56">
        <f>12*6</f>
        <v>72</v>
      </c>
      <c r="I9" s="69">
        <v>0.92</v>
      </c>
      <c r="J9" s="56">
        <f t="shared" si="0"/>
        <v>66.240000000000009</v>
      </c>
      <c r="K9" s="56" t="s">
        <v>119</v>
      </c>
      <c r="L9" s="77">
        <f t="shared" si="1"/>
        <v>0.53275966183574874</v>
      </c>
    </row>
    <row r="10" spans="2:12" x14ac:dyDescent="0.35">
      <c r="B10" s="59" t="s">
        <v>732</v>
      </c>
      <c r="C10" s="56" t="s">
        <v>746</v>
      </c>
      <c r="D10" s="56" t="s">
        <v>747</v>
      </c>
      <c r="E10" s="56" t="s">
        <v>748</v>
      </c>
      <c r="F10" s="56">
        <v>20.86</v>
      </c>
      <c r="G10" s="56" t="s">
        <v>112</v>
      </c>
      <c r="H10" s="56">
        <f>4*3*16</f>
        <v>192</v>
      </c>
      <c r="I10" s="69">
        <v>0.95</v>
      </c>
      <c r="J10" s="56">
        <f t="shared" si="0"/>
        <v>182.39999999999998</v>
      </c>
      <c r="K10" s="56" t="s">
        <v>119</v>
      </c>
      <c r="L10" s="77">
        <f t="shared" si="1"/>
        <v>0.11436403508771931</v>
      </c>
    </row>
    <row r="11" spans="2:12" x14ac:dyDescent="0.35">
      <c r="B11" s="59" t="s">
        <v>732</v>
      </c>
      <c r="C11" s="56" t="s">
        <v>749</v>
      </c>
      <c r="D11" s="56" t="s">
        <v>747</v>
      </c>
      <c r="E11" s="56" t="s">
        <v>179</v>
      </c>
      <c r="F11" s="56">
        <v>16.64</v>
      </c>
      <c r="G11" s="56" t="s">
        <v>112</v>
      </c>
      <c r="H11" s="56">
        <f>4*5*16</f>
        <v>320</v>
      </c>
      <c r="I11" s="69">
        <v>1</v>
      </c>
      <c r="J11" s="56">
        <f t="shared" si="0"/>
        <v>320</v>
      </c>
      <c r="K11" s="56" t="s">
        <v>119</v>
      </c>
      <c r="L11" s="77">
        <f t="shared" si="1"/>
        <v>5.2000000000000005E-2</v>
      </c>
    </row>
    <row r="12" spans="2:12" x14ac:dyDescent="0.35">
      <c r="B12" s="59" t="s">
        <v>732</v>
      </c>
      <c r="C12" s="56" t="s">
        <v>750</v>
      </c>
      <c r="D12" s="56"/>
      <c r="E12" s="56" t="s">
        <v>751</v>
      </c>
      <c r="F12" s="56">
        <v>11.1</v>
      </c>
      <c r="G12" s="56" t="s">
        <v>112</v>
      </c>
      <c r="H12" s="56">
        <f>5*16</f>
        <v>80</v>
      </c>
      <c r="I12" s="69">
        <v>0.79</v>
      </c>
      <c r="J12" s="56">
        <f t="shared" si="0"/>
        <v>63.2</v>
      </c>
      <c r="K12" s="56" t="s">
        <v>119</v>
      </c>
      <c r="L12" s="77">
        <f t="shared" si="1"/>
        <v>0.17563291139240506</v>
      </c>
    </row>
    <row r="13" spans="2:12" x14ac:dyDescent="0.35">
      <c r="B13" s="59" t="s">
        <v>732</v>
      </c>
      <c r="C13" s="56" t="s">
        <v>752</v>
      </c>
      <c r="D13" s="56" t="s">
        <v>753</v>
      </c>
      <c r="E13" s="56" t="s">
        <v>179</v>
      </c>
      <c r="F13" s="56">
        <v>18.03</v>
      </c>
      <c r="G13" s="56" t="s">
        <v>112</v>
      </c>
      <c r="H13" s="56">
        <f>4*5*16</f>
        <v>320</v>
      </c>
      <c r="I13" s="69">
        <v>1</v>
      </c>
      <c r="J13" s="56">
        <f t="shared" si="0"/>
        <v>320</v>
      </c>
      <c r="K13" s="56" t="s">
        <v>119</v>
      </c>
      <c r="L13" s="77">
        <f t="shared" si="1"/>
        <v>5.6343750000000005E-2</v>
      </c>
    </row>
    <row r="14" spans="2:12" x14ac:dyDescent="0.35">
      <c r="B14" s="59" t="s">
        <v>732</v>
      </c>
      <c r="C14" s="56" t="s">
        <v>754</v>
      </c>
      <c r="D14" s="56" t="s">
        <v>557</v>
      </c>
      <c r="E14" s="56" t="s">
        <v>280</v>
      </c>
      <c r="F14" s="56">
        <v>16.3</v>
      </c>
      <c r="G14" s="56" t="s">
        <v>2</v>
      </c>
      <c r="H14" s="56">
        <f>25*16</f>
        <v>400</v>
      </c>
      <c r="I14" s="69">
        <v>0.82</v>
      </c>
      <c r="J14" s="56">
        <f t="shared" si="0"/>
        <v>328</v>
      </c>
      <c r="K14" s="56" t="s">
        <v>119</v>
      </c>
      <c r="L14" s="77">
        <f t="shared" si="1"/>
        <v>4.9695121951219515E-2</v>
      </c>
    </row>
    <row r="15" spans="2:12" x14ac:dyDescent="0.35">
      <c r="B15" s="59" t="s">
        <v>732</v>
      </c>
      <c r="C15" s="56" t="s">
        <v>86</v>
      </c>
      <c r="D15" s="56" t="s">
        <v>557</v>
      </c>
      <c r="E15" s="56" t="s">
        <v>179</v>
      </c>
      <c r="F15" s="56">
        <v>17.420000000000002</v>
      </c>
      <c r="G15" s="56" t="s">
        <v>112</v>
      </c>
      <c r="H15" s="56">
        <f>4*5*16</f>
        <v>320</v>
      </c>
      <c r="I15" s="69">
        <v>1</v>
      </c>
      <c r="J15" s="56">
        <f t="shared" si="0"/>
        <v>320</v>
      </c>
      <c r="K15" s="56" t="s">
        <v>119</v>
      </c>
      <c r="L15" s="77">
        <f t="shared" si="1"/>
        <v>5.4437500000000007E-2</v>
      </c>
    </row>
    <row r="16" spans="2:12" x14ac:dyDescent="0.35">
      <c r="B16" s="59" t="s">
        <v>732</v>
      </c>
      <c r="C16" s="56" t="s">
        <v>89</v>
      </c>
      <c r="D16" s="56" t="s">
        <v>557</v>
      </c>
      <c r="E16" s="56" t="s">
        <v>744</v>
      </c>
      <c r="F16" s="56">
        <v>34.450000000000003</v>
      </c>
      <c r="G16" s="56" t="s">
        <v>112</v>
      </c>
      <c r="H16" s="56">
        <v>464</v>
      </c>
      <c r="I16" s="69">
        <v>0.53</v>
      </c>
      <c r="J16" s="56">
        <v>245.92</v>
      </c>
      <c r="K16" s="56" t="s">
        <v>119</v>
      </c>
      <c r="L16" s="77">
        <f t="shared" si="1"/>
        <v>0.14008620689655174</v>
      </c>
    </row>
    <row r="17" spans="2:12" x14ac:dyDescent="0.35">
      <c r="B17" s="80" t="s">
        <v>732</v>
      </c>
      <c r="C17" s="81" t="s">
        <v>88</v>
      </c>
      <c r="D17" s="81" t="s">
        <v>747</v>
      </c>
      <c r="E17" s="81" t="s">
        <v>442</v>
      </c>
      <c r="F17" s="81">
        <v>103.02</v>
      </c>
      <c r="G17" s="81" t="s">
        <v>112</v>
      </c>
      <c r="H17" s="81">
        <v>24</v>
      </c>
      <c r="I17" s="82">
        <v>0.75</v>
      </c>
      <c r="J17" s="81">
        <f t="shared" ref="J17:J23" si="2">H17*I17</f>
        <v>18</v>
      </c>
      <c r="K17" s="81" t="s">
        <v>2</v>
      </c>
      <c r="L17" s="99">
        <f t="shared" si="1"/>
        <v>5.7233333333333327</v>
      </c>
    </row>
    <row r="18" spans="2:12" x14ac:dyDescent="0.35">
      <c r="B18" s="80" t="s">
        <v>732</v>
      </c>
      <c r="C18" s="81" t="s">
        <v>755</v>
      </c>
      <c r="D18" s="81"/>
      <c r="E18" s="81" t="s">
        <v>756</v>
      </c>
      <c r="F18" s="81">
        <v>18.89</v>
      </c>
      <c r="G18" s="81" t="s">
        <v>112</v>
      </c>
      <c r="H18" s="81">
        <f>25*16</f>
        <v>400</v>
      </c>
      <c r="I18" s="82">
        <v>0.95</v>
      </c>
      <c r="J18" s="81">
        <f t="shared" si="2"/>
        <v>380</v>
      </c>
      <c r="K18" s="81" t="s">
        <v>119</v>
      </c>
      <c r="L18" s="99">
        <f t="shared" si="1"/>
        <v>4.9710526315789476E-2</v>
      </c>
    </row>
    <row r="19" spans="2:12" x14ac:dyDescent="0.35">
      <c r="B19" s="59" t="s">
        <v>732</v>
      </c>
      <c r="C19" s="56" t="s">
        <v>757</v>
      </c>
      <c r="D19" s="56"/>
      <c r="E19" s="56" t="s">
        <v>758</v>
      </c>
      <c r="F19" s="56">
        <v>33.49</v>
      </c>
      <c r="G19" s="56" t="s">
        <v>112</v>
      </c>
      <c r="H19" s="56">
        <v>360</v>
      </c>
      <c r="I19" s="69">
        <v>0.81</v>
      </c>
      <c r="J19" s="56">
        <f t="shared" si="2"/>
        <v>291.60000000000002</v>
      </c>
      <c r="K19" s="56" t="s">
        <v>119</v>
      </c>
      <c r="L19" s="77">
        <f t="shared" si="1"/>
        <v>0.11484910836762688</v>
      </c>
    </row>
    <row r="20" spans="2:12" x14ac:dyDescent="0.35">
      <c r="B20" s="59" t="s">
        <v>732</v>
      </c>
      <c r="C20" s="56" t="s">
        <v>56</v>
      </c>
      <c r="D20" s="56" t="s">
        <v>531</v>
      </c>
      <c r="E20" s="56" t="s">
        <v>179</v>
      </c>
      <c r="F20" s="66">
        <v>15.07</v>
      </c>
      <c r="G20" s="56" t="s">
        <v>2</v>
      </c>
      <c r="H20" s="56">
        <v>80</v>
      </c>
      <c r="I20" s="69">
        <v>0.87</v>
      </c>
      <c r="J20" s="56">
        <f t="shared" si="2"/>
        <v>69.599999999999994</v>
      </c>
      <c r="K20" s="56" t="s">
        <v>119</v>
      </c>
      <c r="L20" s="77">
        <f t="shared" si="1"/>
        <v>0.21652298850574714</v>
      </c>
    </row>
    <row r="21" spans="2:12" x14ac:dyDescent="0.35">
      <c r="B21" s="59" t="s">
        <v>732</v>
      </c>
      <c r="C21" s="56" t="s">
        <v>759</v>
      </c>
      <c r="D21" s="56" t="s">
        <v>557</v>
      </c>
      <c r="E21" s="56" t="s">
        <v>760</v>
      </c>
      <c r="F21" s="56">
        <v>39.159999999999997</v>
      </c>
      <c r="G21" s="56" t="s">
        <v>112</v>
      </c>
      <c r="H21" s="56">
        <v>288</v>
      </c>
      <c r="I21" s="69">
        <v>0.96</v>
      </c>
      <c r="J21" s="56">
        <f t="shared" si="2"/>
        <v>276.48</v>
      </c>
      <c r="K21" s="56" t="s">
        <v>119</v>
      </c>
      <c r="L21" s="77">
        <f t="shared" si="1"/>
        <v>0.14163773148148145</v>
      </c>
    </row>
    <row r="22" spans="2:12" x14ac:dyDescent="0.35">
      <c r="B22" s="59" t="s">
        <v>732</v>
      </c>
      <c r="C22" s="56" t="s">
        <v>761</v>
      </c>
      <c r="D22" s="56" t="s">
        <v>557</v>
      </c>
      <c r="E22" s="56" t="s">
        <v>762</v>
      </c>
      <c r="F22" s="56">
        <v>7.02</v>
      </c>
      <c r="G22" s="56" t="s">
        <v>112</v>
      </c>
      <c r="H22" s="56">
        <f>2*16</f>
        <v>32</v>
      </c>
      <c r="I22" s="69">
        <v>0.85</v>
      </c>
      <c r="J22" s="56">
        <f t="shared" si="2"/>
        <v>27.2</v>
      </c>
      <c r="K22" s="56" t="s">
        <v>119</v>
      </c>
      <c r="L22" s="77">
        <f t="shared" si="1"/>
        <v>0.25808823529411762</v>
      </c>
    </row>
    <row r="23" spans="2:12" x14ac:dyDescent="0.35">
      <c r="B23" s="59" t="s">
        <v>732</v>
      </c>
      <c r="C23" s="56" t="s">
        <v>54</v>
      </c>
      <c r="D23" s="56"/>
      <c r="E23" s="56" t="s">
        <v>763</v>
      </c>
      <c r="F23" s="56">
        <v>14.34</v>
      </c>
      <c r="G23" s="56" t="s">
        <v>112</v>
      </c>
      <c r="H23" s="56">
        <f>16</f>
        <v>16</v>
      </c>
      <c r="I23" s="69">
        <v>0.56000000000000005</v>
      </c>
      <c r="J23" s="56">
        <f t="shared" si="2"/>
        <v>8.9600000000000009</v>
      </c>
      <c r="K23" s="56" t="s">
        <v>119</v>
      </c>
      <c r="L23" s="77">
        <f t="shared" si="1"/>
        <v>1.6004464285714284</v>
      </c>
    </row>
    <row r="24" spans="2:12" x14ac:dyDescent="0.35">
      <c r="B24" s="59" t="s">
        <v>732</v>
      </c>
      <c r="C24" s="56" t="s">
        <v>80</v>
      </c>
      <c r="D24" s="56"/>
      <c r="E24" s="56" t="s">
        <v>764</v>
      </c>
      <c r="F24" s="56">
        <v>1.01</v>
      </c>
      <c r="G24" s="56"/>
      <c r="H24" s="56">
        <v>1</v>
      </c>
      <c r="I24" s="69">
        <v>0.95</v>
      </c>
      <c r="J24" s="56">
        <v>0.95</v>
      </c>
      <c r="K24" s="56" t="s">
        <v>119</v>
      </c>
      <c r="L24" s="77">
        <f t="shared" si="1"/>
        <v>1.0631578947368421</v>
      </c>
    </row>
    <row r="25" spans="2:12" x14ac:dyDescent="0.35">
      <c r="B25" s="59" t="s">
        <v>732</v>
      </c>
      <c r="C25" s="56" t="s">
        <v>33</v>
      </c>
      <c r="D25" s="56" t="s">
        <v>747</v>
      </c>
      <c r="E25" s="56" t="s">
        <v>765</v>
      </c>
      <c r="F25" s="56">
        <v>13.45</v>
      </c>
      <c r="G25" s="56" t="s">
        <v>112</v>
      </c>
      <c r="H25" s="56">
        <f>4*16</f>
        <v>64</v>
      </c>
      <c r="I25" s="69">
        <v>0.96</v>
      </c>
      <c r="J25" s="56">
        <f t="shared" ref="J25:J42" si="3">H25*I25</f>
        <v>61.44</v>
      </c>
      <c r="K25" s="56" t="s">
        <v>119</v>
      </c>
      <c r="L25" s="77">
        <f t="shared" si="1"/>
        <v>0.21891276041666666</v>
      </c>
    </row>
    <row r="26" spans="2:12" x14ac:dyDescent="0.35">
      <c r="B26" s="59" t="s">
        <v>732</v>
      </c>
      <c r="C26" s="56" t="s">
        <v>766</v>
      </c>
      <c r="D26" s="56"/>
      <c r="E26" s="56" t="s">
        <v>767</v>
      </c>
      <c r="F26" s="56">
        <v>7.95</v>
      </c>
      <c r="G26" s="56" t="s">
        <v>112</v>
      </c>
      <c r="H26" s="56">
        <v>4</v>
      </c>
      <c r="I26" s="69">
        <v>0.44</v>
      </c>
      <c r="J26" s="56">
        <f t="shared" si="3"/>
        <v>1.76</v>
      </c>
      <c r="K26" s="56" t="s">
        <v>119</v>
      </c>
      <c r="L26" s="77">
        <f t="shared" si="1"/>
        <v>4.517045454545455</v>
      </c>
    </row>
    <row r="27" spans="2:12" x14ac:dyDescent="0.35">
      <c r="B27" s="59" t="s">
        <v>732</v>
      </c>
      <c r="C27" s="56" t="s">
        <v>768</v>
      </c>
      <c r="D27" s="56"/>
      <c r="E27" s="56" t="s">
        <v>744</v>
      </c>
      <c r="F27" s="56">
        <v>26.7</v>
      </c>
      <c r="G27" s="56" t="s">
        <v>112</v>
      </c>
      <c r="H27" s="56">
        <v>204</v>
      </c>
      <c r="I27" s="69">
        <v>0.86</v>
      </c>
      <c r="J27" s="56">
        <f t="shared" si="3"/>
        <v>175.44</v>
      </c>
      <c r="K27" s="56" t="s">
        <v>119</v>
      </c>
      <c r="L27" s="77">
        <f t="shared" si="1"/>
        <v>0.15218878248974008</v>
      </c>
    </row>
    <row r="28" spans="2:12" x14ac:dyDescent="0.35">
      <c r="B28" s="59" t="s">
        <v>732</v>
      </c>
      <c r="C28" s="56" t="s">
        <v>769</v>
      </c>
      <c r="D28" s="56"/>
      <c r="E28" s="56" t="s">
        <v>763</v>
      </c>
      <c r="F28" s="56">
        <v>11.45</v>
      </c>
      <c r="G28" s="56" t="s">
        <v>112</v>
      </c>
      <c r="H28" s="56">
        <v>16</v>
      </c>
      <c r="I28" s="69">
        <v>0.42</v>
      </c>
      <c r="J28" s="56">
        <f t="shared" si="3"/>
        <v>6.72</v>
      </c>
      <c r="K28" s="56" t="s">
        <v>119</v>
      </c>
      <c r="L28" s="77">
        <f t="shared" si="1"/>
        <v>1.7038690476190477</v>
      </c>
    </row>
    <row r="29" spans="2:12" x14ac:dyDescent="0.35">
      <c r="B29" s="59" t="s">
        <v>732</v>
      </c>
      <c r="C29" s="56" t="s">
        <v>55</v>
      </c>
      <c r="D29" s="56"/>
      <c r="E29" s="56" t="s">
        <v>770</v>
      </c>
      <c r="F29" s="56">
        <v>5.47</v>
      </c>
      <c r="G29" s="56" t="s">
        <v>112</v>
      </c>
      <c r="H29" s="56">
        <v>6</v>
      </c>
      <c r="I29" s="69">
        <v>0.4</v>
      </c>
      <c r="J29" s="56">
        <f t="shared" si="3"/>
        <v>2.4000000000000004</v>
      </c>
      <c r="K29" s="56" t="s">
        <v>2</v>
      </c>
      <c r="L29" s="77">
        <f t="shared" si="1"/>
        <v>2.2791666666666663</v>
      </c>
    </row>
    <row r="30" spans="2:12" x14ac:dyDescent="0.35">
      <c r="B30" s="59" t="s">
        <v>732</v>
      </c>
      <c r="C30" s="56" t="s">
        <v>771</v>
      </c>
      <c r="D30" s="56"/>
      <c r="E30" s="56" t="s">
        <v>763</v>
      </c>
      <c r="F30" s="56">
        <v>9.8000000000000007</v>
      </c>
      <c r="G30" s="56" t="s">
        <v>112</v>
      </c>
      <c r="H30" s="56">
        <v>16</v>
      </c>
      <c r="I30" s="69">
        <v>0.8</v>
      </c>
      <c r="J30" s="56">
        <f t="shared" si="3"/>
        <v>12.8</v>
      </c>
      <c r="K30" s="56" t="s">
        <v>119</v>
      </c>
      <c r="L30" s="77">
        <f t="shared" si="1"/>
        <v>0.765625</v>
      </c>
    </row>
    <row r="31" spans="2:12" x14ac:dyDescent="0.35">
      <c r="B31" s="59" t="s">
        <v>732</v>
      </c>
      <c r="C31" s="56" t="s">
        <v>772</v>
      </c>
      <c r="D31" s="56"/>
      <c r="E31" s="56" t="s">
        <v>767</v>
      </c>
      <c r="F31" s="56">
        <v>6.65</v>
      </c>
      <c r="G31" s="56" t="s">
        <v>112</v>
      </c>
      <c r="H31" s="56">
        <v>4</v>
      </c>
      <c r="I31" s="69">
        <v>0.6</v>
      </c>
      <c r="J31" s="56">
        <f t="shared" si="3"/>
        <v>2.4</v>
      </c>
      <c r="K31" s="56" t="s">
        <v>119</v>
      </c>
      <c r="L31" s="77">
        <f t="shared" si="1"/>
        <v>2.7708333333333335</v>
      </c>
    </row>
    <row r="32" spans="2:12" x14ac:dyDescent="0.35">
      <c r="B32" s="59" t="s">
        <v>732</v>
      </c>
      <c r="C32" s="56" t="s">
        <v>773</v>
      </c>
      <c r="D32" s="56" t="s">
        <v>774</v>
      </c>
      <c r="E32" s="56" t="s">
        <v>751</v>
      </c>
      <c r="F32" s="56">
        <v>13.15</v>
      </c>
      <c r="G32" s="56" t="s">
        <v>2</v>
      </c>
      <c r="H32" s="56">
        <f>5*16</f>
        <v>80</v>
      </c>
      <c r="I32" s="69">
        <v>0.89</v>
      </c>
      <c r="J32" s="56">
        <f t="shared" si="3"/>
        <v>71.2</v>
      </c>
      <c r="K32" s="56" t="s">
        <v>119</v>
      </c>
      <c r="L32" s="77">
        <f t="shared" si="1"/>
        <v>0.18469101123595505</v>
      </c>
    </row>
    <row r="33" spans="2:12" x14ac:dyDescent="0.35">
      <c r="B33" s="59" t="s">
        <v>732</v>
      </c>
      <c r="C33" s="56" t="s">
        <v>775</v>
      </c>
      <c r="D33" s="56"/>
      <c r="E33" s="56" t="s">
        <v>767</v>
      </c>
      <c r="F33" s="56">
        <v>7.56</v>
      </c>
      <c r="G33" s="56" t="s">
        <v>112</v>
      </c>
      <c r="H33" s="56">
        <v>4</v>
      </c>
      <c r="I33" s="69">
        <v>0.8</v>
      </c>
      <c r="J33" s="56">
        <f t="shared" si="3"/>
        <v>3.2</v>
      </c>
      <c r="K33" s="56" t="s">
        <v>119</v>
      </c>
      <c r="L33" s="77">
        <f t="shared" si="1"/>
        <v>2.3624999999999998</v>
      </c>
    </row>
    <row r="34" spans="2:12" x14ac:dyDescent="0.35">
      <c r="B34" s="59" t="s">
        <v>732</v>
      </c>
      <c r="C34" s="56" t="s">
        <v>76</v>
      </c>
      <c r="D34" s="56"/>
      <c r="E34" s="56" t="s">
        <v>767</v>
      </c>
      <c r="F34" s="56">
        <v>6.65</v>
      </c>
      <c r="G34" s="56" t="s">
        <v>112</v>
      </c>
      <c r="H34" s="56">
        <v>4</v>
      </c>
      <c r="I34" s="69">
        <v>0.65</v>
      </c>
      <c r="J34" s="56">
        <f t="shared" si="3"/>
        <v>2.6</v>
      </c>
      <c r="K34" s="56" t="s">
        <v>119</v>
      </c>
      <c r="L34" s="77">
        <f t="shared" si="1"/>
        <v>2.5576923076923079</v>
      </c>
    </row>
    <row r="35" spans="2:12" x14ac:dyDescent="0.35">
      <c r="B35" s="59" t="s">
        <v>732</v>
      </c>
      <c r="C35" s="56" t="s">
        <v>776</v>
      </c>
      <c r="D35" s="56" t="s">
        <v>747</v>
      </c>
      <c r="E35" s="56" t="s">
        <v>200</v>
      </c>
      <c r="F35" s="56">
        <v>17.41</v>
      </c>
      <c r="G35" s="56" t="s">
        <v>112</v>
      </c>
      <c r="H35" s="56">
        <f>4*2.5*16</f>
        <v>160</v>
      </c>
      <c r="I35" s="69">
        <v>0.85</v>
      </c>
      <c r="J35" s="56">
        <f t="shared" si="3"/>
        <v>136</v>
      </c>
      <c r="K35" s="56" t="s">
        <v>119</v>
      </c>
      <c r="L35" s="77">
        <f t="shared" si="1"/>
        <v>0.12801470588235295</v>
      </c>
    </row>
    <row r="36" spans="2:12" x14ac:dyDescent="0.35">
      <c r="B36" s="59" t="s">
        <v>732</v>
      </c>
      <c r="C36" s="56" t="s">
        <v>777</v>
      </c>
      <c r="D36" s="56" t="s">
        <v>778</v>
      </c>
      <c r="E36" s="56" t="s">
        <v>751</v>
      </c>
      <c r="F36" s="56">
        <v>7.55</v>
      </c>
      <c r="G36" s="56"/>
      <c r="H36" s="56">
        <f>5*16</f>
        <v>80</v>
      </c>
      <c r="I36" s="69">
        <v>0.9</v>
      </c>
      <c r="J36" s="56">
        <f t="shared" si="3"/>
        <v>72</v>
      </c>
      <c r="K36" s="56" t="s">
        <v>119</v>
      </c>
      <c r="L36" s="77">
        <f t="shared" si="1"/>
        <v>0.10486111111111111</v>
      </c>
    </row>
    <row r="37" spans="2:12" x14ac:dyDescent="0.35">
      <c r="B37" s="59" t="s">
        <v>732</v>
      </c>
      <c r="C37" s="56" t="s">
        <v>62</v>
      </c>
      <c r="D37" s="56" t="s">
        <v>779</v>
      </c>
      <c r="E37" s="56" t="s">
        <v>201</v>
      </c>
      <c r="F37" s="56">
        <v>13.45</v>
      </c>
      <c r="G37" s="56" t="s">
        <v>112</v>
      </c>
      <c r="H37" s="56">
        <f>2*2*16</f>
        <v>64</v>
      </c>
      <c r="I37" s="69">
        <v>0.99</v>
      </c>
      <c r="J37" s="56">
        <f t="shared" si="3"/>
        <v>63.36</v>
      </c>
      <c r="K37" s="56" t="s">
        <v>119</v>
      </c>
      <c r="L37" s="77">
        <f t="shared" si="1"/>
        <v>0.21227904040404039</v>
      </c>
    </row>
    <row r="38" spans="2:12" x14ac:dyDescent="0.35">
      <c r="B38" s="59" t="s">
        <v>732</v>
      </c>
      <c r="C38" s="56" t="s">
        <v>71</v>
      </c>
      <c r="D38" s="56" t="s">
        <v>747</v>
      </c>
      <c r="E38" s="56" t="s">
        <v>780</v>
      </c>
      <c r="F38" s="56">
        <v>19.59</v>
      </c>
      <c r="G38" s="56" t="s">
        <v>112</v>
      </c>
      <c r="H38" s="56">
        <v>238</v>
      </c>
      <c r="I38" s="69">
        <v>0.87</v>
      </c>
      <c r="J38" s="56">
        <f t="shared" si="3"/>
        <v>207.06</v>
      </c>
      <c r="K38" s="56" t="s">
        <v>2</v>
      </c>
      <c r="L38" s="77">
        <f t="shared" si="1"/>
        <v>9.4610257896261957E-2</v>
      </c>
    </row>
    <row r="39" spans="2:12" x14ac:dyDescent="0.35">
      <c r="B39" s="59" t="s">
        <v>732</v>
      </c>
      <c r="C39" s="56" t="s">
        <v>781</v>
      </c>
      <c r="D39" s="56" t="s">
        <v>557</v>
      </c>
      <c r="E39" s="56" t="s">
        <v>782</v>
      </c>
      <c r="F39" s="56">
        <v>47.21</v>
      </c>
      <c r="G39" s="56" t="s">
        <v>112</v>
      </c>
      <c r="H39" s="56">
        <v>24</v>
      </c>
      <c r="I39" s="69">
        <v>0.74</v>
      </c>
      <c r="J39" s="56">
        <f t="shared" si="3"/>
        <v>17.759999999999998</v>
      </c>
      <c r="K39" s="56" t="s">
        <v>783</v>
      </c>
      <c r="L39" s="77">
        <f t="shared" si="1"/>
        <v>2.6582207207207209</v>
      </c>
    </row>
    <row r="40" spans="2:12" x14ac:dyDescent="0.35">
      <c r="B40" s="59" t="s">
        <v>732</v>
      </c>
      <c r="C40" s="56" t="s">
        <v>784</v>
      </c>
      <c r="D40" s="56" t="s">
        <v>747</v>
      </c>
      <c r="E40" s="56" t="s">
        <v>442</v>
      </c>
      <c r="F40" s="56">
        <v>22.95</v>
      </c>
      <c r="G40" s="56" t="s">
        <v>112</v>
      </c>
      <c r="H40" s="56">
        <v>24</v>
      </c>
      <c r="I40" s="69">
        <v>0.7</v>
      </c>
      <c r="J40" s="56">
        <f t="shared" si="3"/>
        <v>16.799999999999997</v>
      </c>
      <c r="K40" s="56" t="s">
        <v>783</v>
      </c>
      <c r="L40" s="77">
        <f>F40/J40</f>
        <v>1.3660714285714288</v>
      </c>
    </row>
    <row r="41" spans="2:12" x14ac:dyDescent="0.35">
      <c r="B41" s="59" t="s">
        <v>732</v>
      </c>
      <c r="C41" s="56" t="s">
        <v>785</v>
      </c>
      <c r="D41" s="56" t="s">
        <v>747</v>
      </c>
      <c r="E41" s="56" t="s">
        <v>748</v>
      </c>
      <c r="F41" s="56">
        <v>24.88</v>
      </c>
      <c r="G41" s="56" t="s">
        <v>112</v>
      </c>
      <c r="H41" s="56">
        <f>4*3*16</f>
        <v>192</v>
      </c>
      <c r="I41" s="69">
        <v>0.98</v>
      </c>
      <c r="J41" s="56">
        <f t="shared" si="3"/>
        <v>188.16</v>
      </c>
      <c r="K41" s="56" t="s">
        <v>119</v>
      </c>
      <c r="L41" s="77">
        <f t="shared" si="1"/>
        <v>0.13222789115646258</v>
      </c>
    </row>
    <row r="42" spans="2:12" x14ac:dyDescent="0.35">
      <c r="B42" s="59" t="s">
        <v>732</v>
      </c>
      <c r="C42" s="56" t="s">
        <v>786</v>
      </c>
      <c r="D42" s="56" t="s">
        <v>557</v>
      </c>
      <c r="E42" s="56" t="s">
        <v>751</v>
      </c>
      <c r="F42" s="56">
        <v>9.44</v>
      </c>
      <c r="G42" s="56"/>
      <c r="H42" s="56">
        <f>5*16</f>
        <v>80</v>
      </c>
      <c r="I42" s="69">
        <v>0.9</v>
      </c>
      <c r="J42" s="56">
        <f t="shared" si="3"/>
        <v>72</v>
      </c>
      <c r="K42" s="56" t="s">
        <v>119</v>
      </c>
      <c r="L42" s="77">
        <f t="shared" si="1"/>
        <v>0.13111111111111109</v>
      </c>
    </row>
    <row r="43" spans="2:12" x14ac:dyDescent="0.35">
      <c r="B43" s="59" t="s">
        <v>732</v>
      </c>
      <c r="C43" s="56" t="s">
        <v>787</v>
      </c>
      <c r="D43" s="56"/>
      <c r="E43" s="56" t="s">
        <v>780</v>
      </c>
      <c r="F43" s="56">
        <v>24.2</v>
      </c>
      <c r="G43" s="56" t="s">
        <v>112</v>
      </c>
      <c r="H43" s="56">
        <v>33.32</v>
      </c>
      <c r="I43" s="69">
        <v>0.5</v>
      </c>
      <c r="J43" s="56">
        <v>16.68</v>
      </c>
      <c r="K43" s="56" t="s">
        <v>119</v>
      </c>
      <c r="L43" s="77">
        <v>4.3124999999999997E-2</v>
      </c>
    </row>
    <row r="44" spans="2:12" x14ac:dyDescent="0.35">
      <c r="B44" s="59" t="s">
        <v>732</v>
      </c>
      <c r="C44" s="56" t="s">
        <v>788</v>
      </c>
      <c r="D44" s="56"/>
      <c r="E44" s="56" t="s">
        <v>780</v>
      </c>
      <c r="F44" s="56">
        <v>36.450000000000003</v>
      </c>
      <c r="G44" s="56" t="s">
        <v>112</v>
      </c>
      <c r="H44" s="56"/>
      <c r="I44" s="69">
        <v>0.6</v>
      </c>
      <c r="J44" s="56"/>
      <c r="K44" s="56" t="s">
        <v>119</v>
      </c>
      <c r="L44" s="77">
        <v>5.8125000000000003E-2</v>
      </c>
    </row>
    <row r="45" spans="2:12" x14ac:dyDescent="0.35">
      <c r="B45" s="59" t="s">
        <v>732</v>
      </c>
      <c r="C45" s="56" t="s">
        <v>789</v>
      </c>
      <c r="D45" s="56" t="s">
        <v>747</v>
      </c>
      <c r="E45" s="56" t="s">
        <v>790</v>
      </c>
      <c r="F45" s="56">
        <v>13.3</v>
      </c>
      <c r="G45" s="56" t="s">
        <v>112</v>
      </c>
      <c r="H45" s="56"/>
      <c r="I45" s="69">
        <v>0.46</v>
      </c>
      <c r="J45" s="56"/>
      <c r="K45" s="56" t="s">
        <v>119</v>
      </c>
      <c r="L45" s="77">
        <v>6.3750000000000001E-2</v>
      </c>
    </row>
    <row r="46" spans="2:12" x14ac:dyDescent="0.35">
      <c r="B46" s="59" t="s">
        <v>732</v>
      </c>
      <c r="C46" s="56" t="s">
        <v>791</v>
      </c>
      <c r="D46" s="56" t="s">
        <v>557</v>
      </c>
      <c r="E46" s="56" t="s">
        <v>197</v>
      </c>
      <c r="F46" s="56">
        <v>14.4</v>
      </c>
      <c r="G46" s="56" t="s">
        <v>112</v>
      </c>
      <c r="H46" s="56">
        <f>10*16</f>
        <v>160</v>
      </c>
      <c r="I46" s="69">
        <v>0.9</v>
      </c>
      <c r="J46" s="56">
        <f t="shared" ref="J46:J68" si="4">H46*I46</f>
        <v>144</v>
      </c>
      <c r="K46" s="56" t="s">
        <v>119</v>
      </c>
      <c r="L46" s="77">
        <v>0.18</v>
      </c>
    </row>
    <row r="47" spans="2:12" x14ac:dyDescent="0.35">
      <c r="B47" s="59" t="s">
        <v>732</v>
      </c>
      <c r="C47" s="56" t="s">
        <v>792</v>
      </c>
      <c r="D47" s="56" t="s">
        <v>793</v>
      </c>
      <c r="E47" s="56" t="s">
        <v>197</v>
      </c>
      <c r="F47" s="56">
        <v>15.9</v>
      </c>
      <c r="G47" s="56" t="s">
        <v>112</v>
      </c>
      <c r="H47" s="56">
        <f>10*16</f>
        <v>160</v>
      </c>
      <c r="I47" s="69">
        <v>0.99</v>
      </c>
      <c r="J47" s="56">
        <f t="shared" si="4"/>
        <v>158.4</v>
      </c>
      <c r="K47" s="56" t="s">
        <v>119</v>
      </c>
      <c r="L47" s="77">
        <f t="shared" ref="L47:L75" si="5">F47/J47</f>
        <v>0.10037878787878787</v>
      </c>
    </row>
    <row r="48" spans="2:12" x14ac:dyDescent="0.35">
      <c r="B48" s="59" t="s">
        <v>732</v>
      </c>
      <c r="C48" s="56" t="s">
        <v>794</v>
      </c>
      <c r="D48" s="56" t="s">
        <v>747</v>
      </c>
      <c r="E48" s="56" t="s">
        <v>751</v>
      </c>
      <c r="F48" s="56">
        <v>20.3</v>
      </c>
      <c r="G48" s="56"/>
      <c r="H48" s="56">
        <f>5*16</f>
        <v>80</v>
      </c>
      <c r="I48" s="69">
        <v>0.95</v>
      </c>
      <c r="J48" s="56">
        <f t="shared" si="4"/>
        <v>76</v>
      </c>
      <c r="K48" s="56" t="s">
        <v>119</v>
      </c>
      <c r="L48" s="77">
        <f t="shared" si="5"/>
        <v>0.26710526315789473</v>
      </c>
    </row>
    <row r="49" spans="2:12" x14ac:dyDescent="0.35">
      <c r="B49" s="59" t="s">
        <v>732</v>
      </c>
      <c r="C49" s="56" t="s">
        <v>68</v>
      </c>
      <c r="D49" s="56" t="s">
        <v>531</v>
      </c>
      <c r="E49" s="56" t="s">
        <v>280</v>
      </c>
      <c r="F49" s="56">
        <v>20.41</v>
      </c>
      <c r="G49" s="56" t="s">
        <v>112</v>
      </c>
      <c r="H49" s="56">
        <f>25*16</f>
        <v>400</v>
      </c>
      <c r="I49" s="69">
        <v>0.89</v>
      </c>
      <c r="J49" s="56">
        <f t="shared" si="4"/>
        <v>356</v>
      </c>
      <c r="K49" s="56" t="s">
        <v>119</v>
      </c>
      <c r="L49" s="77">
        <f t="shared" si="5"/>
        <v>5.7331460674157307E-2</v>
      </c>
    </row>
    <row r="50" spans="2:12" x14ac:dyDescent="0.35">
      <c r="B50" s="59" t="s">
        <v>732</v>
      </c>
      <c r="C50" s="56" t="s">
        <v>79</v>
      </c>
      <c r="D50" s="56" t="s">
        <v>531</v>
      </c>
      <c r="E50" s="56" t="s">
        <v>795</v>
      </c>
      <c r="F50" s="56">
        <v>24.08</v>
      </c>
      <c r="G50" s="56" t="s">
        <v>112</v>
      </c>
      <c r="H50" s="56">
        <f>50*16</f>
        <v>800</v>
      </c>
      <c r="I50" s="69">
        <v>0.89</v>
      </c>
      <c r="J50" s="56">
        <f t="shared" si="4"/>
        <v>712</v>
      </c>
      <c r="K50" s="56" t="s">
        <v>119</v>
      </c>
      <c r="L50" s="77">
        <f t="shared" si="5"/>
        <v>3.3820224719101122E-2</v>
      </c>
    </row>
    <row r="51" spans="2:12" x14ac:dyDescent="0.35">
      <c r="B51" s="59" t="s">
        <v>732</v>
      </c>
      <c r="C51" s="56" t="s">
        <v>796</v>
      </c>
      <c r="D51" s="56" t="s">
        <v>747</v>
      </c>
      <c r="E51" s="56" t="s">
        <v>797</v>
      </c>
      <c r="F51" s="56">
        <v>17.649999999999999</v>
      </c>
      <c r="G51" s="56" t="s">
        <v>112</v>
      </c>
      <c r="H51" s="56">
        <f>32*4</f>
        <v>128</v>
      </c>
      <c r="I51" s="69">
        <v>0.6</v>
      </c>
      <c r="J51" s="56">
        <f t="shared" si="4"/>
        <v>76.8</v>
      </c>
      <c r="K51" s="56" t="s">
        <v>119</v>
      </c>
      <c r="L51" s="77">
        <f t="shared" si="5"/>
        <v>0.22981770833333331</v>
      </c>
    </row>
    <row r="52" spans="2:12" x14ac:dyDescent="0.35">
      <c r="B52" s="59" t="s">
        <v>732</v>
      </c>
      <c r="C52" s="56" t="s">
        <v>798</v>
      </c>
      <c r="D52" s="56" t="s">
        <v>747</v>
      </c>
      <c r="E52" s="56" t="s">
        <v>740</v>
      </c>
      <c r="F52" s="56">
        <v>28.37</v>
      </c>
      <c r="G52" s="56" t="s">
        <v>112</v>
      </c>
      <c r="H52" s="56">
        <f>40*16</f>
        <v>640</v>
      </c>
      <c r="I52" s="69">
        <v>1</v>
      </c>
      <c r="J52" s="56">
        <f t="shared" si="4"/>
        <v>640</v>
      </c>
      <c r="K52" s="56" t="s">
        <v>119</v>
      </c>
      <c r="L52" s="77">
        <f t="shared" si="5"/>
        <v>4.4328125000000003E-2</v>
      </c>
    </row>
    <row r="53" spans="2:12" x14ac:dyDescent="0.35">
      <c r="B53" s="59" t="s">
        <v>732</v>
      </c>
      <c r="C53" s="56" t="s">
        <v>799</v>
      </c>
      <c r="D53" s="56" t="s">
        <v>557</v>
      </c>
      <c r="E53" s="56" t="s">
        <v>800</v>
      </c>
      <c r="F53" s="56">
        <v>45.67</v>
      </c>
      <c r="G53" s="56" t="s">
        <v>112</v>
      </c>
      <c r="H53" s="56">
        <f>28*16</f>
        <v>448</v>
      </c>
      <c r="I53" s="69">
        <v>0.82</v>
      </c>
      <c r="J53" s="56">
        <f t="shared" si="4"/>
        <v>367.35999999999996</v>
      </c>
      <c r="K53" s="56" t="s">
        <v>119</v>
      </c>
      <c r="L53" s="77">
        <f t="shared" si="5"/>
        <v>0.124319468641115</v>
      </c>
    </row>
    <row r="54" spans="2:12" x14ac:dyDescent="0.35">
      <c r="B54" s="59" t="s">
        <v>732</v>
      </c>
      <c r="C54" s="56" t="s">
        <v>801</v>
      </c>
      <c r="D54" s="56"/>
      <c r="E54" s="56" t="s">
        <v>280</v>
      </c>
      <c r="F54" s="56">
        <v>19.489999999999998</v>
      </c>
      <c r="G54" s="56" t="s">
        <v>112</v>
      </c>
      <c r="H54" s="56">
        <v>400</v>
      </c>
      <c r="I54" s="69">
        <v>0.82</v>
      </c>
      <c r="J54" s="56">
        <f t="shared" si="4"/>
        <v>328</v>
      </c>
      <c r="K54" s="56" t="s">
        <v>119</v>
      </c>
      <c r="L54" s="77">
        <f t="shared" si="5"/>
        <v>5.942073170731707E-2</v>
      </c>
    </row>
    <row r="55" spans="2:12" s="54" customFormat="1" x14ac:dyDescent="0.35">
      <c r="B55" s="59" t="s">
        <v>732</v>
      </c>
      <c r="C55" s="56" t="s">
        <v>87</v>
      </c>
      <c r="D55" s="56" t="s">
        <v>557</v>
      </c>
      <c r="E55" s="56" t="s">
        <v>197</v>
      </c>
      <c r="F55" s="56">
        <v>20.25</v>
      </c>
      <c r="G55" s="56" t="s">
        <v>112</v>
      </c>
      <c r="H55" s="56">
        <f>10*16</f>
        <v>160</v>
      </c>
      <c r="I55" s="69">
        <v>0.8</v>
      </c>
      <c r="J55" s="56">
        <f t="shared" ref="J55" si="6">H55*I55</f>
        <v>128</v>
      </c>
      <c r="K55" s="56" t="s">
        <v>119</v>
      </c>
      <c r="L55" s="77">
        <f t="shared" ref="L55" si="7">F55/J55</f>
        <v>0.158203125</v>
      </c>
    </row>
    <row r="56" spans="2:12" x14ac:dyDescent="0.35">
      <c r="B56" s="59" t="s">
        <v>732</v>
      </c>
      <c r="C56" s="56" t="s">
        <v>802</v>
      </c>
      <c r="D56" s="56" t="s">
        <v>557</v>
      </c>
      <c r="E56" s="56" t="s">
        <v>751</v>
      </c>
      <c r="F56" s="56">
        <v>32.4</v>
      </c>
      <c r="G56" s="56" t="s">
        <v>112</v>
      </c>
      <c r="H56" s="56">
        <f>5*16</f>
        <v>80</v>
      </c>
      <c r="I56" s="69">
        <v>0.8</v>
      </c>
      <c r="J56" s="56">
        <f>H56*I56</f>
        <v>64</v>
      </c>
      <c r="K56" s="56" t="s">
        <v>119</v>
      </c>
      <c r="L56" s="77">
        <f t="shared" si="5"/>
        <v>0.50624999999999998</v>
      </c>
    </row>
    <row r="57" spans="2:12" x14ac:dyDescent="0.35">
      <c r="B57" s="59" t="s">
        <v>732</v>
      </c>
      <c r="C57" s="56" t="s">
        <v>803</v>
      </c>
      <c r="D57" s="56" t="s">
        <v>557</v>
      </c>
      <c r="E57" s="56" t="s">
        <v>280</v>
      </c>
      <c r="F57" s="56">
        <v>27.39</v>
      </c>
      <c r="G57" s="56" t="s">
        <v>112</v>
      </c>
      <c r="H57" s="56">
        <f>25*16</f>
        <v>400</v>
      </c>
      <c r="I57" s="69">
        <v>0.82</v>
      </c>
      <c r="J57" s="56">
        <f t="shared" si="4"/>
        <v>328</v>
      </c>
      <c r="K57" s="56" t="s">
        <v>119</v>
      </c>
      <c r="L57" s="77">
        <f t="shared" si="5"/>
        <v>8.3506097560975615E-2</v>
      </c>
    </row>
    <row r="58" spans="2:12" x14ac:dyDescent="0.35">
      <c r="B58" s="59" t="s">
        <v>732</v>
      </c>
      <c r="C58" s="56" t="s">
        <v>804</v>
      </c>
      <c r="D58" s="56" t="s">
        <v>557</v>
      </c>
      <c r="E58" s="56" t="s">
        <v>280</v>
      </c>
      <c r="F58" s="56">
        <v>65.84</v>
      </c>
      <c r="G58" s="56" t="s">
        <v>112</v>
      </c>
      <c r="H58" s="56">
        <f>25*16</f>
        <v>400</v>
      </c>
      <c r="I58" s="69">
        <v>0.82</v>
      </c>
      <c r="J58" s="56">
        <f t="shared" si="4"/>
        <v>328</v>
      </c>
      <c r="K58" s="56" t="s">
        <v>119</v>
      </c>
      <c r="L58" s="77">
        <f t="shared" si="5"/>
        <v>0.20073170731707318</v>
      </c>
    </row>
    <row r="59" spans="2:12" x14ac:dyDescent="0.35">
      <c r="B59" s="59" t="s">
        <v>732</v>
      </c>
      <c r="C59" s="56" t="s">
        <v>805</v>
      </c>
      <c r="D59" s="56" t="s">
        <v>806</v>
      </c>
      <c r="E59" s="56" t="s">
        <v>197</v>
      </c>
      <c r="F59" s="56">
        <v>19.010000000000002</v>
      </c>
      <c r="G59" s="56" t="s">
        <v>112</v>
      </c>
      <c r="H59" s="56">
        <f>10*16</f>
        <v>160</v>
      </c>
      <c r="I59" s="69">
        <v>0.52</v>
      </c>
      <c r="J59" s="56">
        <f t="shared" si="4"/>
        <v>83.2</v>
      </c>
      <c r="K59" s="56" t="s">
        <v>119</v>
      </c>
      <c r="L59" s="77">
        <f t="shared" si="5"/>
        <v>0.22848557692307694</v>
      </c>
    </row>
    <row r="60" spans="2:12" x14ac:dyDescent="0.35">
      <c r="B60" s="59" t="s">
        <v>732</v>
      </c>
      <c r="C60" s="56" t="s">
        <v>807</v>
      </c>
      <c r="D60" s="56" t="s">
        <v>557</v>
      </c>
      <c r="E60" s="56" t="s">
        <v>795</v>
      </c>
      <c r="F60" s="56">
        <v>21.97</v>
      </c>
      <c r="G60" s="56" t="s">
        <v>112</v>
      </c>
      <c r="H60" s="56">
        <f>50*16</f>
        <v>800</v>
      </c>
      <c r="I60" s="69">
        <v>0.81</v>
      </c>
      <c r="J60" s="56">
        <f t="shared" si="4"/>
        <v>648</v>
      </c>
      <c r="K60" s="56" t="s">
        <v>119</v>
      </c>
      <c r="L60" s="77">
        <f t="shared" si="5"/>
        <v>3.3904320987654321E-2</v>
      </c>
    </row>
    <row r="61" spans="2:12" x14ac:dyDescent="0.35">
      <c r="B61" s="59" t="s">
        <v>732</v>
      </c>
      <c r="C61" s="56" t="s">
        <v>808</v>
      </c>
      <c r="D61" s="56" t="s">
        <v>747</v>
      </c>
      <c r="E61" s="56" t="s">
        <v>795</v>
      </c>
      <c r="F61" s="56">
        <v>18.96</v>
      </c>
      <c r="G61" s="56" t="s">
        <v>112</v>
      </c>
      <c r="H61" s="56">
        <f>50*16</f>
        <v>800</v>
      </c>
      <c r="I61" s="69">
        <v>0.85</v>
      </c>
      <c r="J61" s="56">
        <f t="shared" si="4"/>
        <v>680</v>
      </c>
      <c r="K61" s="56" t="s">
        <v>119</v>
      </c>
      <c r="L61" s="77">
        <f t="shared" si="5"/>
        <v>2.7882352941176473E-2</v>
      </c>
    </row>
    <row r="62" spans="2:12" x14ac:dyDescent="0.35">
      <c r="B62" s="59" t="s">
        <v>732</v>
      </c>
      <c r="C62" s="56" t="s">
        <v>809</v>
      </c>
      <c r="D62" s="56" t="s">
        <v>557</v>
      </c>
      <c r="E62" s="56" t="s">
        <v>795</v>
      </c>
      <c r="F62" s="56">
        <v>18.36</v>
      </c>
      <c r="G62" s="56" t="s">
        <v>112</v>
      </c>
      <c r="H62" s="56">
        <f>50*16</f>
        <v>800</v>
      </c>
      <c r="I62" s="69">
        <v>0.83</v>
      </c>
      <c r="J62" s="56">
        <f t="shared" si="4"/>
        <v>664</v>
      </c>
      <c r="K62" s="56" t="s">
        <v>119</v>
      </c>
      <c r="L62" s="77">
        <f t="shared" si="5"/>
        <v>2.7650602409638552E-2</v>
      </c>
    </row>
    <row r="63" spans="2:12" x14ac:dyDescent="0.35">
      <c r="B63" s="59" t="s">
        <v>732</v>
      </c>
      <c r="C63" s="56" t="s">
        <v>32</v>
      </c>
      <c r="D63" s="56" t="s">
        <v>557</v>
      </c>
      <c r="E63" s="56" t="s">
        <v>751</v>
      </c>
      <c r="F63" s="56">
        <v>9</v>
      </c>
      <c r="G63" s="56" t="s">
        <v>112</v>
      </c>
      <c r="H63" s="56">
        <f>5*16</f>
        <v>80</v>
      </c>
      <c r="I63" s="69">
        <v>0.85</v>
      </c>
      <c r="J63" s="56">
        <f t="shared" si="4"/>
        <v>68</v>
      </c>
      <c r="K63" s="56" t="s">
        <v>119</v>
      </c>
      <c r="L63" s="77">
        <f t="shared" si="5"/>
        <v>0.13235294117647059</v>
      </c>
    </row>
    <row r="64" spans="2:12" x14ac:dyDescent="0.35">
      <c r="B64" s="59" t="s">
        <v>732</v>
      </c>
      <c r="C64" s="56" t="s">
        <v>810</v>
      </c>
      <c r="D64" s="56" t="s">
        <v>743</v>
      </c>
      <c r="E64" s="56" t="s">
        <v>811</v>
      </c>
      <c r="F64" s="56">
        <v>33.47</v>
      </c>
      <c r="G64" s="56" t="s">
        <v>112</v>
      </c>
      <c r="H64" s="56">
        <v>72</v>
      </c>
      <c r="I64" s="69">
        <v>0.97</v>
      </c>
      <c r="J64" s="56">
        <f t="shared" si="4"/>
        <v>69.84</v>
      </c>
      <c r="K64" s="56" t="s">
        <v>119</v>
      </c>
      <c r="L64" s="77">
        <f t="shared" si="5"/>
        <v>0.4792382588774341</v>
      </c>
    </row>
    <row r="65" spans="2:12" x14ac:dyDescent="0.35">
      <c r="B65" s="59" t="s">
        <v>732</v>
      </c>
      <c r="C65" s="56" t="s">
        <v>812</v>
      </c>
      <c r="D65" s="56" t="s">
        <v>747</v>
      </c>
      <c r="E65" s="56" t="s">
        <v>200</v>
      </c>
      <c r="F65" s="56">
        <v>16.79</v>
      </c>
      <c r="G65" s="56" t="s">
        <v>112</v>
      </c>
      <c r="H65" s="56">
        <f>4*2.5*16</f>
        <v>160</v>
      </c>
      <c r="I65" s="69">
        <v>0.74</v>
      </c>
      <c r="J65" s="56">
        <f t="shared" si="4"/>
        <v>118.4</v>
      </c>
      <c r="K65" s="56" t="s">
        <v>119</v>
      </c>
      <c r="L65" s="77">
        <f t="shared" si="5"/>
        <v>0.14180743243243241</v>
      </c>
    </row>
    <row r="66" spans="2:12" x14ac:dyDescent="0.35">
      <c r="B66" s="59" t="s">
        <v>732</v>
      </c>
      <c r="C66" s="56" t="s">
        <v>813</v>
      </c>
      <c r="D66" s="56" t="s">
        <v>557</v>
      </c>
      <c r="E66" s="56" t="s">
        <v>751</v>
      </c>
      <c r="F66" s="56">
        <v>6.27</v>
      </c>
      <c r="G66" s="56"/>
      <c r="H66" s="56">
        <f>5*16</f>
        <v>80</v>
      </c>
      <c r="I66" s="69">
        <v>0.87</v>
      </c>
      <c r="J66" s="56">
        <f t="shared" si="4"/>
        <v>69.599999999999994</v>
      </c>
      <c r="K66" s="56" t="s">
        <v>119</v>
      </c>
      <c r="L66" s="77">
        <f t="shared" si="5"/>
        <v>9.0086206896551724E-2</v>
      </c>
    </row>
    <row r="67" spans="2:12" x14ac:dyDescent="0.35">
      <c r="B67" s="59" t="s">
        <v>732</v>
      </c>
      <c r="C67" s="56" t="s">
        <v>814</v>
      </c>
      <c r="D67" s="56"/>
      <c r="E67" s="56" t="s">
        <v>780</v>
      </c>
      <c r="F67" s="56">
        <v>36.49</v>
      </c>
      <c r="G67" s="56" t="s">
        <v>112</v>
      </c>
      <c r="H67" s="56">
        <f>1.8*13*16</f>
        <v>374.40000000000003</v>
      </c>
      <c r="I67" s="69">
        <v>0.52</v>
      </c>
      <c r="J67" s="56">
        <f t="shared" si="4"/>
        <v>194.68800000000002</v>
      </c>
      <c r="K67" s="56" t="s">
        <v>119</v>
      </c>
      <c r="L67" s="77">
        <f t="shared" si="5"/>
        <v>0.18742809007232084</v>
      </c>
    </row>
    <row r="68" spans="2:12" x14ac:dyDescent="0.35">
      <c r="B68" s="59" t="s">
        <v>732</v>
      </c>
      <c r="C68" s="56" t="s">
        <v>815</v>
      </c>
      <c r="D68" s="56"/>
      <c r="E68" s="56" t="s">
        <v>280</v>
      </c>
      <c r="F68" s="56">
        <v>20.7</v>
      </c>
      <c r="G68" s="56"/>
      <c r="H68" s="56">
        <f>25*16</f>
        <v>400</v>
      </c>
      <c r="I68" s="69">
        <v>0.95</v>
      </c>
      <c r="J68" s="56">
        <f t="shared" si="4"/>
        <v>380</v>
      </c>
      <c r="K68" s="56" t="s">
        <v>119</v>
      </c>
      <c r="L68" s="77">
        <f t="shared" si="5"/>
        <v>5.4473684210526313E-2</v>
      </c>
    </row>
    <row r="69" spans="2:12" x14ac:dyDescent="0.35">
      <c r="B69" s="59" t="s">
        <v>732</v>
      </c>
      <c r="C69" s="56" t="s">
        <v>816</v>
      </c>
      <c r="D69" s="56"/>
      <c r="E69" s="56" t="s">
        <v>734</v>
      </c>
      <c r="F69" s="56">
        <v>18.59</v>
      </c>
      <c r="G69" s="56" t="s">
        <v>112</v>
      </c>
      <c r="H69" s="56">
        <v>400</v>
      </c>
      <c r="I69" s="69">
        <v>0.95</v>
      </c>
      <c r="J69" s="56">
        <v>380</v>
      </c>
      <c r="K69" s="56" t="s">
        <v>119</v>
      </c>
      <c r="L69" s="77">
        <f t="shared" si="5"/>
        <v>4.8921052631578948E-2</v>
      </c>
    </row>
    <row r="70" spans="2:12" x14ac:dyDescent="0.35">
      <c r="B70" s="59" t="s">
        <v>732</v>
      </c>
      <c r="C70" s="56" t="s">
        <v>817</v>
      </c>
      <c r="D70" s="56" t="s">
        <v>743</v>
      </c>
      <c r="E70" s="56" t="s">
        <v>818</v>
      </c>
      <c r="F70" s="56">
        <v>21.42</v>
      </c>
      <c r="G70" s="56" t="s">
        <v>112</v>
      </c>
      <c r="H70" s="56">
        <f>8*16</f>
        <v>128</v>
      </c>
      <c r="I70" s="69">
        <v>0.87</v>
      </c>
      <c r="J70" s="56">
        <f t="shared" ref="J70:J75" si="8">H70*I70</f>
        <v>111.36</v>
      </c>
      <c r="K70" s="56" t="s">
        <v>119</v>
      </c>
      <c r="L70" s="77">
        <f t="shared" si="5"/>
        <v>0.1923491379310345</v>
      </c>
    </row>
    <row r="71" spans="2:12" x14ac:dyDescent="0.35">
      <c r="B71" s="59" t="s">
        <v>732</v>
      </c>
      <c r="C71" s="56" t="s">
        <v>819</v>
      </c>
      <c r="D71" s="56" t="s">
        <v>820</v>
      </c>
      <c r="E71" s="56" t="s">
        <v>821</v>
      </c>
      <c r="F71" s="56">
        <v>11.59</v>
      </c>
      <c r="G71" s="56" t="s">
        <v>112</v>
      </c>
      <c r="H71" s="56">
        <f>6*14</f>
        <v>84</v>
      </c>
      <c r="I71" s="69">
        <v>0.9</v>
      </c>
      <c r="J71" s="56">
        <f t="shared" si="8"/>
        <v>75.600000000000009</v>
      </c>
      <c r="K71" s="56" t="s">
        <v>119</v>
      </c>
      <c r="L71" s="77">
        <f t="shared" si="5"/>
        <v>0.15330687830687828</v>
      </c>
    </row>
    <row r="72" spans="2:12" x14ac:dyDescent="0.35">
      <c r="B72" s="59" t="s">
        <v>732</v>
      </c>
      <c r="C72" s="56" t="s">
        <v>67</v>
      </c>
      <c r="D72" s="56" t="s">
        <v>747</v>
      </c>
      <c r="E72" s="56" t="s">
        <v>822</v>
      </c>
      <c r="F72" s="56">
        <v>25.84</v>
      </c>
      <c r="G72" s="56" t="s">
        <v>112</v>
      </c>
      <c r="H72" s="56">
        <v>600</v>
      </c>
      <c r="I72" s="69">
        <v>0.9</v>
      </c>
      <c r="J72" s="56">
        <f t="shared" si="8"/>
        <v>540</v>
      </c>
      <c r="K72" s="56" t="s">
        <v>180</v>
      </c>
      <c r="L72" s="77">
        <f t="shared" si="5"/>
        <v>4.7851851851851854E-2</v>
      </c>
    </row>
    <row r="73" spans="2:12" x14ac:dyDescent="0.35">
      <c r="B73" s="59" t="s">
        <v>732</v>
      </c>
      <c r="C73" s="56" t="s">
        <v>823</v>
      </c>
      <c r="D73" s="56" t="s">
        <v>557</v>
      </c>
      <c r="E73" s="56" t="s">
        <v>444</v>
      </c>
      <c r="F73" s="56">
        <v>26.99</v>
      </c>
      <c r="G73" s="56" t="s">
        <v>112</v>
      </c>
      <c r="H73" s="56">
        <f>20*16</f>
        <v>320</v>
      </c>
      <c r="I73" s="69">
        <v>0.98</v>
      </c>
      <c r="J73" s="56">
        <f t="shared" si="8"/>
        <v>313.60000000000002</v>
      </c>
      <c r="K73" s="56" t="s">
        <v>119</v>
      </c>
      <c r="L73" s="77">
        <f t="shared" si="5"/>
        <v>8.6065051020408151E-2</v>
      </c>
    </row>
    <row r="74" spans="2:12" x14ac:dyDescent="0.35">
      <c r="B74" s="59" t="s">
        <v>732</v>
      </c>
      <c r="C74" s="56" t="s">
        <v>824</v>
      </c>
      <c r="D74" s="56" t="s">
        <v>557</v>
      </c>
      <c r="E74" s="56" t="s">
        <v>280</v>
      </c>
      <c r="F74" s="56">
        <v>24.04</v>
      </c>
      <c r="G74" s="56" t="s">
        <v>112</v>
      </c>
      <c r="H74" s="56">
        <f>25*16</f>
        <v>400</v>
      </c>
      <c r="I74" s="69">
        <v>0.9</v>
      </c>
      <c r="J74" s="56">
        <f t="shared" si="8"/>
        <v>360</v>
      </c>
      <c r="K74" s="56" t="s">
        <v>119</v>
      </c>
      <c r="L74" s="77">
        <f t="shared" si="5"/>
        <v>6.6777777777777769E-2</v>
      </c>
    </row>
    <row r="75" spans="2:12" ht="15" thickBot="1" x14ac:dyDescent="0.4">
      <c r="B75" s="60" t="s">
        <v>732</v>
      </c>
      <c r="C75" s="61" t="s">
        <v>825</v>
      </c>
      <c r="D75" s="61" t="s">
        <v>557</v>
      </c>
      <c r="E75" s="61" t="s">
        <v>740</v>
      </c>
      <c r="F75" s="61">
        <v>29.75</v>
      </c>
      <c r="G75" s="61" t="s">
        <v>112</v>
      </c>
      <c r="H75" s="61">
        <f>40*16</f>
        <v>640</v>
      </c>
      <c r="I75" s="70">
        <v>0.8</v>
      </c>
      <c r="J75" s="61">
        <f t="shared" si="8"/>
        <v>512</v>
      </c>
      <c r="K75" s="61" t="s">
        <v>119</v>
      </c>
      <c r="L75" s="100">
        <f t="shared" si="5"/>
        <v>5.810546875E-2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B1:J309"/>
  <sheetViews>
    <sheetView topLeftCell="A2" workbookViewId="0">
      <selection activeCell="C306" sqref="C306"/>
    </sheetView>
  </sheetViews>
  <sheetFormatPr defaultRowHeight="14.5" x14ac:dyDescent="0.35"/>
  <cols>
    <col min="3" max="3" width="42.54296875" customWidth="1"/>
    <col min="6" max="6" width="8.7265625" style="44"/>
    <col min="10" max="10" width="8.7265625" style="44"/>
  </cols>
  <sheetData>
    <row r="1" spans="2:10" ht="15" thickBot="1" x14ac:dyDescent="0.4">
      <c r="B1" s="55" t="s">
        <v>100</v>
      </c>
      <c r="C1" s="55" t="s">
        <v>101</v>
      </c>
      <c r="D1" s="55" t="s">
        <v>102</v>
      </c>
      <c r="E1" s="55" t="s">
        <v>103</v>
      </c>
      <c r="F1" s="72" t="s">
        <v>104</v>
      </c>
      <c r="G1" s="55" t="s">
        <v>105</v>
      </c>
      <c r="H1" s="55" t="s">
        <v>24</v>
      </c>
      <c r="I1" s="55" t="s">
        <v>105</v>
      </c>
      <c r="J1" s="72" t="s">
        <v>107</v>
      </c>
    </row>
    <row r="2" spans="2:10" ht="15" thickBot="1" x14ac:dyDescent="0.4">
      <c r="B2" s="57" t="s">
        <v>826</v>
      </c>
      <c r="C2" s="58" t="s">
        <v>827</v>
      </c>
      <c r="D2" s="58" t="s">
        <v>828</v>
      </c>
      <c r="E2" s="58" t="s">
        <v>829</v>
      </c>
      <c r="F2" s="73">
        <v>85.11</v>
      </c>
      <c r="G2" s="58" t="s">
        <v>112</v>
      </c>
      <c r="H2" s="58">
        <f>2*10*16</f>
        <v>320</v>
      </c>
      <c r="I2" s="58" t="s">
        <v>119</v>
      </c>
      <c r="J2" s="76">
        <f>F2/H2</f>
        <v>0.26596874999999998</v>
      </c>
    </row>
    <row r="3" spans="2:10" ht="15" thickBot="1" x14ac:dyDescent="0.4">
      <c r="B3" s="59" t="s">
        <v>826</v>
      </c>
      <c r="C3" s="56" t="s">
        <v>830</v>
      </c>
      <c r="D3" s="56" t="s">
        <v>828</v>
      </c>
      <c r="E3" s="56" t="s">
        <v>829</v>
      </c>
      <c r="F3" s="74">
        <v>72.47</v>
      </c>
      <c r="G3" s="56" t="s">
        <v>112</v>
      </c>
      <c r="H3" s="56">
        <f>2*10*16</f>
        <v>320</v>
      </c>
      <c r="I3" s="56" t="s">
        <v>119</v>
      </c>
      <c r="J3" s="76">
        <f t="shared" ref="J3:J10" si="0">F3/H3</f>
        <v>0.22646875</v>
      </c>
    </row>
    <row r="4" spans="2:10" ht="15" thickBot="1" x14ac:dyDescent="0.4">
      <c r="B4" s="59" t="s">
        <v>826</v>
      </c>
      <c r="C4" s="56" t="s">
        <v>831</v>
      </c>
      <c r="D4" s="56" t="s">
        <v>832</v>
      </c>
      <c r="E4" s="56" t="s">
        <v>833</v>
      </c>
      <c r="F4" s="74">
        <v>33.770000000000003</v>
      </c>
      <c r="G4" s="56" t="s">
        <v>112</v>
      </c>
      <c r="H4" s="56">
        <f>6*16</f>
        <v>96</v>
      </c>
      <c r="I4" s="56" t="s">
        <v>119</v>
      </c>
      <c r="J4" s="76">
        <f t="shared" si="0"/>
        <v>0.35177083333333337</v>
      </c>
    </row>
    <row r="5" spans="2:10" ht="15" thickBot="1" x14ac:dyDescent="0.4">
      <c r="B5" s="57" t="s">
        <v>826</v>
      </c>
      <c r="C5" s="58" t="s">
        <v>834</v>
      </c>
      <c r="D5" s="58" t="s">
        <v>835</v>
      </c>
      <c r="E5" s="58" t="s">
        <v>836</v>
      </c>
      <c r="F5" s="73">
        <v>8.2899999999999991</v>
      </c>
      <c r="G5" s="58" t="s">
        <v>2</v>
      </c>
      <c r="H5" s="58">
        <v>16</v>
      </c>
      <c r="I5" s="58" t="s">
        <v>119</v>
      </c>
      <c r="J5" s="76">
        <f>F5/H5</f>
        <v>0.51812499999999995</v>
      </c>
    </row>
    <row r="6" spans="2:10" ht="15" thickBot="1" x14ac:dyDescent="0.4">
      <c r="B6" s="59" t="s">
        <v>826</v>
      </c>
      <c r="C6" s="56" t="s">
        <v>837</v>
      </c>
      <c r="D6" s="56" t="s">
        <v>835</v>
      </c>
      <c r="E6" s="56" t="s">
        <v>836</v>
      </c>
      <c r="F6" s="74">
        <v>15.75</v>
      </c>
      <c r="G6" s="56" t="s">
        <v>2</v>
      </c>
      <c r="H6" s="56"/>
      <c r="I6" s="56"/>
      <c r="J6" s="76" t="e">
        <f>F6/H6</f>
        <v>#DIV/0!</v>
      </c>
    </row>
    <row r="7" spans="2:10" ht="15" thickBot="1" x14ac:dyDescent="0.4">
      <c r="B7" s="59" t="s">
        <v>826</v>
      </c>
      <c r="C7" s="56" t="s">
        <v>838</v>
      </c>
      <c r="D7" s="56" t="s">
        <v>839</v>
      </c>
      <c r="E7" s="56" t="s">
        <v>833</v>
      </c>
      <c r="F7" s="74">
        <v>71.17</v>
      </c>
      <c r="G7" s="56" t="s">
        <v>112</v>
      </c>
      <c r="H7" s="56">
        <f>6*16</f>
        <v>96</v>
      </c>
      <c r="I7" s="56" t="s">
        <v>119</v>
      </c>
      <c r="J7" s="76">
        <f t="shared" si="0"/>
        <v>0.74135416666666665</v>
      </c>
    </row>
    <row r="8" spans="2:10" ht="15" thickBot="1" x14ac:dyDescent="0.4">
      <c r="B8" s="59" t="s">
        <v>826</v>
      </c>
      <c r="C8" s="56" t="s">
        <v>840</v>
      </c>
      <c r="D8" s="56" t="s">
        <v>841</v>
      </c>
      <c r="E8" s="56" t="s">
        <v>842</v>
      </c>
      <c r="F8" s="74">
        <v>24.72</v>
      </c>
      <c r="G8" s="56" t="s">
        <v>112</v>
      </c>
      <c r="H8" s="56">
        <f>22*16</f>
        <v>352</v>
      </c>
      <c r="I8" s="56" t="s">
        <v>119</v>
      </c>
      <c r="J8" s="76">
        <f t="shared" si="0"/>
        <v>7.0227272727272722E-2</v>
      </c>
    </row>
    <row r="9" spans="2:10" ht="15" thickBot="1" x14ac:dyDescent="0.4">
      <c r="B9" s="59" t="s">
        <v>826</v>
      </c>
      <c r="C9" s="56" t="s">
        <v>843</v>
      </c>
      <c r="D9" s="56" t="s">
        <v>828</v>
      </c>
      <c r="E9" s="56" t="s">
        <v>833</v>
      </c>
      <c r="F9" s="74">
        <v>19.68</v>
      </c>
      <c r="G9" s="56" t="s">
        <v>112</v>
      </c>
      <c r="H9" s="56">
        <f>6*16</f>
        <v>96</v>
      </c>
      <c r="I9" s="56" t="s">
        <v>119</v>
      </c>
      <c r="J9" s="76">
        <f t="shared" si="0"/>
        <v>0.20499999999999999</v>
      </c>
    </row>
    <row r="10" spans="2:10" ht="15" thickBot="1" x14ac:dyDescent="0.4">
      <c r="B10" s="60" t="s">
        <v>826</v>
      </c>
      <c r="C10" s="61" t="s">
        <v>844</v>
      </c>
      <c r="D10" s="61" t="s">
        <v>839</v>
      </c>
      <c r="E10" s="61" t="s">
        <v>845</v>
      </c>
      <c r="F10" s="75">
        <v>28.54</v>
      </c>
      <c r="G10" s="61" t="s">
        <v>112</v>
      </c>
      <c r="H10" s="61">
        <f>6*14.4</f>
        <v>86.4</v>
      </c>
      <c r="I10" s="61" t="s">
        <v>119</v>
      </c>
      <c r="J10" s="76">
        <f t="shared" si="0"/>
        <v>0.33032407407407405</v>
      </c>
    </row>
    <row r="11" spans="2:10" ht="15" thickBot="1" x14ac:dyDescent="0.4">
      <c r="B11" s="57" t="s">
        <v>846</v>
      </c>
      <c r="C11" s="58" t="s">
        <v>46</v>
      </c>
      <c r="D11" s="58" t="s">
        <v>126</v>
      </c>
      <c r="E11" s="58" t="s">
        <v>795</v>
      </c>
      <c r="F11" s="73">
        <v>47.11</v>
      </c>
      <c r="G11" s="58" t="s">
        <v>112</v>
      </c>
      <c r="H11" s="58">
        <f>50*16</f>
        <v>800</v>
      </c>
      <c r="I11" s="58" t="s">
        <v>119</v>
      </c>
      <c r="J11" s="76">
        <f>F11/H11</f>
        <v>5.8887500000000002E-2</v>
      </c>
    </row>
    <row r="12" spans="2:10" ht="15" thickBot="1" x14ac:dyDescent="0.4">
      <c r="B12" s="59" t="s">
        <v>846</v>
      </c>
      <c r="C12" s="56" t="s">
        <v>847</v>
      </c>
      <c r="D12" s="56" t="s">
        <v>126</v>
      </c>
      <c r="E12" s="56" t="s">
        <v>444</v>
      </c>
      <c r="F12" s="74">
        <v>17.84</v>
      </c>
      <c r="G12" s="56" t="s">
        <v>112</v>
      </c>
      <c r="H12" s="56">
        <f t="shared" ref="H12:H19" si="1">20*16</f>
        <v>320</v>
      </c>
      <c r="I12" s="56" t="s">
        <v>119</v>
      </c>
      <c r="J12" s="76">
        <f t="shared" ref="J12:J20" si="2">F12/H12</f>
        <v>5.5750000000000001E-2</v>
      </c>
    </row>
    <row r="13" spans="2:10" ht="15" thickBot="1" x14ac:dyDescent="0.4">
      <c r="B13" s="59" t="s">
        <v>846</v>
      </c>
      <c r="C13" s="56" t="s">
        <v>848</v>
      </c>
      <c r="D13" s="56" t="s">
        <v>437</v>
      </c>
      <c r="E13" s="56" t="s">
        <v>444</v>
      </c>
      <c r="F13" s="74">
        <v>32.979999999999997</v>
      </c>
      <c r="G13" s="56" t="s">
        <v>112</v>
      </c>
      <c r="H13" s="56">
        <f t="shared" si="1"/>
        <v>320</v>
      </c>
      <c r="I13" s="56" t="s">
        <v>119</v>
      </c>
      <c r="J13" s="76">
        <f t="shared" si="2"/>
        <v>0.10306249999999999</v>
      </c>
    </row>
    <row r="14" spans="2:10" ht="15" thickBot="1" x14ac:dyDescent="0.4">
      <c r="B14" s="59" t="s">
        <v>846</v>
      </c>
      <c r="C14" s="56" t="s">
        <v>849</v>
      </c>
      <c r="D14" s="56" t="s">
        <v>437</v>
      </c>
      <c r="E14" s="56" t="s">
        <v>444</v>
      </c>
      <c r="F14" s="74">
        <v>30.64</v>
      </c>
      <c r="G14" s="56" t="s">
        <v>112</v>
      </c>
      <c r="H14" s="56">
        <f t="shared" si="1"/>
        <v>320</v>
      </c>
      <c r="I14" s="56" t="s">
        <v>119</v>
      </c>
      <c r="J14" s="76">
        <f t="shared" si="2"/>
        <v>9.5750000000000002E-2</v>
      </c>
    </row>
    <row r="15" spans="2:10" ht="15" thickBot="1" x14ac:dyDescent="0.4">
      <c r="B15" s="59" t="s">
        <v>846</v>
      </c>
      <c r="C15" s="56" t="s">
        <v>850</v>
      </c>
      <c r="D15" s="56" t="s">
        <v>437</v>
      </c>
      <c r="E15" s="56" t="s">
        <v>444</v>
      </c>
      <c r="F15" s="74">
        <v>31.27</v>
      </c>
      <c r="G15" s="56" t="s">
        <v>112</v>
      </c>
      <c r="H15" s="56">
        <f t="shared" si="1"/>
        <v>320</v>
      </c>
      <c r="I15" s="56" t="s">
        <v>119</v>
      </c>
      <c r="J15" s="76">
        <f t="shared" si="2"/>
        <v>9.7718749999999993E-2</v>
      </c>
    </row>
    <row r="16" spans="2:10" ht="15" thickBot="1" x14ac:dyDescent="0.4">
      <c r="B16" s="59" t="s">
        <v>846</v>
      </c>
      <c r="C16" s="56" t="s">
        <v>851</v>
      </c>
      <c r="D16" s="56" t="s">
        <v>126</v>
      </c>
      <c r="E16" s="56" t="s">
        <v>795</v>
      </c>
      <c r="F16" s="74">
        <v>29.23</v>
      </c>
      <c r="G16" s="56" t="s">
        <v>112</v>
      </c>
      <c r="H16" s="56">
        <f t="shared" si="1"/>
        <v>320</v>
      </c>
      <c r="I16" s="56" t="s">
        <v>25</v>
      </c>
      <c r="J16" s="76">
        <f t="shared" si="2"/>
        <v>9.1343750000000001E-2</v>
      </c>
    </row>
    <row r="17" spans="2:10" ht="15" thickBot="1" x14ac:dyDescent="0.4">
      <c r="B17" s="59" t="s">
        <v>846</v>
      </c>
      <c r="C17" s="56" t="s">
        <v>852</v>
      </c>
      <c r="D17" s="56" t="s">
        <v>437</v>
      </c>
      <c r="E17" s="56" t="s">
        <v>444</v>
      </c>
      <c r="F17" s="74">
        <v>29.11</v>
      </c>
      <c r="G17" s="56" t="s">
        <v>112</v>
      </c>
      <c r="H17" s="56">
        <f t="shared" si="1"/>
        <v>320</v>
      </c>
      <c r="I17" s="56" t="s">
        <v>119</v>
      </c>
      <c r="J17" s="76">
        <f t="shared" si="2"/>
        <v>9.0968750000000001E-2</v>
      </c>
    </row>
    <row r="18" spans="2:10" ht="15" thickBot="1" x14ac:dyDescent="0.4">
      <c r="B18" s="59" t="s">
        <v>846</v>
      </c>
      <c r="C18" s="56" t="s">
        <v>853</v>
      </c>
      <c r="D18" s="56" t="s">
        <v>437</v>
      </c>
      <c r="E18" s="56" t="s">
        <v>444</v>
      </c>
      <c r="F18" s="74">
        <v>27.24</v>
      </c>
      <c r="G18" s="56" t="s">
        <v>112</v>
      </c>
      <c r="H18" s="56">
        <f t="shared" si="1"/>
        <v>320</v>
      </c>
      <c r="I18" s="56" t="s">
        <v>119</v>
      </c>
      <c r="J18" s="76">
        <f t="shared" si="2"/>
        <v>8.5124999999999992E-2</v>
      </c>
    </row>
    <row r="19" spans="2:10" ht="15" thickBot="1" x14ac:dyDescent="0.4">
      <c r="B19" s="59" t="s">
        <v>846</v>
      </c>
      <c r="C19" s="56" t="s">
        <v>854</v>
      </c>
      <c r="D19" s="56" t="s">
        <v>855</v>
      </c>
      <c r="E19" s="56" t="s">
        <v>444</v>
      </c>
      <c r="F19" s="74">
        <v>19.3</v>
      </c>
      <c r="G19" s="56" t="s">
        <v>112</v>
      </c>
      <c r="H19" s="56">
        <f t="shared" si="1"/>
        <v>320</v>
      </c>
      <c r="I19" s="56" t="s">
        <v>119</v>
      </c>
      <c r="J19" s="76">
        <f t="shared" si="2"/>
        <v>6.0312500000000005E-2</v>
      </c>
    </row>
    <row r="20" spans="2:10" ht="15" thickBot="1" x14ac:dyDescent="0.4">
      <c r="B20" s="60" t="s">
        <v>846</v>
      </c>
      <c r="C20" s="61" t="s">
        <v>856</v>
      </c>
      <c r="D20" s="61" t="s">
        <v>251</v>
      </c>
      <c r="E20" s="61" t="s">
        <v>857</v>
      </c>
      <c r="F20" s="75">
        <v>31.2</v>
      </c>
      <c r="G20" s="61" t="s">
        <v>112</v>
      </c>
      <c r="H20" s="61">
        <f>25*16</f>
        <v>400</v>
      </c>
      <c r="I20" s="61" t="s">
        <v>119</v>
      </c>
      <c r="J20" s="76">
        <f t="shared" si="2"/>
        <v>7.8E-2</v>
      </c>
    </row>
    <row r="21" spans="2:10" ht="15" thickBot="1" x14ac:dyDescent="0.4">
      <c r="B21" s="57" t="s">
        <v>858</v>
      </c>
      <c r="C21" s="58" t="s">
        <v>859</v>
      </c>
      <c r="D21" s="58" t="s">
        <v>860</v>
      </c>
      <c r="E21" s="58" t="s">
        <v>861</v>
      </c>
      <c r="F21" s="73">
        <v>33.340000000000003</v>
      </c>
      <c r="G21" s="58" t="s">
        <v>112</v>
      </c>
      <c r="H21" s="58">
        <v>50</v>
      </c>
      <c r="I21" s="58" t="s">
        <v>119</v>
      </c>
      <c r="J21" s="76">
        <f>F21/H21</f>
        <v>0.66680000000000006</v>
      </c>
    </row>
    <row r="22" spans="2:10" ht="15" thickBot="1" x14ac:dyDescent="0.4">
      <c r="B22" s="59" t="s">
        <v>858</v>
      </c>
      <c r="C22" s="56" t="s">
        <v>862</v>
      </c>
      <c r="D22" s="56" t="s">
        <v>437</v>
      </c>
      <c r="E22" s="56" t="s">
        <v>863</v>
      </c>
      <c r="F22" s="74">
        <v>74.53</v>
      </c>
      <c r="G22" s="56" t="s">
        <v>112</v>
      </c>
      <c r="H22" s="64">
        <v>634</v>
      </c>
      <c r="I22" s="56" t="s">
        <v>119</v>
      </c>
      <c r="J22" s="76">
        <f t="shared" ref="J22:J85" si="3">F22/H22</f>
        <v>0.11755520504731862</v>
      </c>
    </row>
    <row r="23" spans="2:10" ht="15" thickBot="1" x14ac:dyDescent="0.4">
      <c r="B23" s="59" t="s">
        <v>858</v>
      </c>
      <c r="C23" s="56" t="s">
        <v>864</v>
      </c>
      <c r="D23" s="56" t="s">
        <v>865</v>
      </c>
      <c r="E23" s="56" t="s">
        <v>866</v>
      </c>
      <c r="F23" s="74">
        <v>17.22</v>
      </c>
      <c r="G23" s="56" t="s">
        <v>112</v>
      </c>
      <c r="H23" s="56">
        <v>390</v>
      </c>
      <c r="I23" s="56" t="s">
        <v>119</v>
      </c>
      <c r="J23" s="76">
        <f t="shared" si="3"/>
        <v>4.4153846153846148E-2</v>
      </c>
    </row>
    <row r="24" spans="2:10" ht="15" thickBot="1" x14ac:dyDescent="0.4">
      <c r="B24" s="59" t="s">
        <v>858</v>
      </c>
      <c r="C24" s="56" t="s">
        <v>867</v>
      </c>
      <c r="D24" s="56" t="s">
        <v>437</v>
      </c>
      <c r="E24" s="56" t="s">
        <v>276</v>
      </c>
      <c r="F24" s="74">
        <v>56</v>
      </c>
      <c r="G24" s="56" t="s">
        <v>112</v>
      </c>
      <c r="H24" s="56">
        <v>192</v>
      </c>
      <c r="I24" s="56" t="s">
        <v>119</v>
      </c>
      <c r="J24" s="76">
        <f t="shared" si="3"/>
        <v>0.29166666666666669</v>
      </c>
    </row>
    <row r="25" spans="2:10" ht="15" thickBot="1" x14ac:dyDescent="0.4">
      <c r="B25" s="59" t="s">
        <v>858</v>
      </c>
      <c r="C25" s="56" t="s">
        <v>868</v>
      </c>
      <c r="D25" s="56" t="s">
        <v>522</v>
      </c>
      <c r="E25" s="56" t="s">
        <v>866</v>
      </c>
      <c r="F25" s="74">
        <v>39.71</v>
      </c>
      <c r="G25" s="56" t="s">
        <v>112</v>
      </c>
      <c r="H25" s="56">
        <f>6*6*16+8</f>
        <v>584</v>
      </c>
      <c r="I25" s="56" t="s">
        <v>119</v>
      </c>
      <c r="J25" s="76">
        <f t="shared" si="3"/>
        <v>6.7996575342465754E-2</v>
      </c>
    </row>
    <row r="26" spans="2:10" ht="15" thickBot="1" x14ac:dyDescent="0.4">
      <c r="B26" s="59" t="s">
        <v>858</v>
      </c>
      <c r="C26" s="56" t="s">
        <v>869</v>
      </c>
      <c r="D26" s="56" t="s">
        <v>870</v>
      </c>
      <c r="E26" s="56" t="s">
        <v>866</v>
      </c>
      <c r="F26" s="74">
        <v>18.55</v>
      </c>
      <c r="G26" s="56" t="s">
        <v>112</v>
      </c>
      <c r="H26" s="56">
        <v>444</v>
      </c>
      <c r="I26" s="56" t="s">
        <v>119</v>
      </c>
      <c r="J26" s="76">
        <f t="shared" si="3"/>
        <v>4.1779279279279283E-2</v>
      </c>
    </row>
    <row r="27" spans="2:10" ht="15" thickBot="1" x14ac:dyDescent="0.4">
      <c r="B27" s="59" t="s">
        <v>858</v>
      </c>
      <c r="C27" s="56" t="s">
        <v>871</v>
      </c>
      <c r="D27" s="56" t="s">
        <v>680</v>
      </c>
      <c r="E27" s="56" t="s">
        <v>872</v>
      </c>
      <c r="F27" s="74">
        <v>32.229999999999997</v>
      </c>
      <c r="G27" s="56" t="s">
        <v>112</v>
      </c>
      <c r="H27" s="56">
        <f>12*46</f>
        <v>552</v>
      </c>
      <c r="I27" s="56" t="s">
        <v>119</v>
      </c>
      <c r="J27" s="76">
        <f t="shared" si="3"/>
        <v>5.8387681159420286E-2</v>
      </c>
    </row>
    <row r="28" spans="2:10" ht="15" thickBot="1" x14ac:dyDescent="0.4">
      <c r="B28" s="59" t="s">
        <v>858</v>
      </c>
      <c r="C28" s="56" t="s">
        <v>873</v>
      </c>
      <c r="D28" s="56" t="s">
        <v>446</v>
      </c>
      <c r="E28" s="56" t="s">
        <v>872</v>
      </c>
      <c r="F28" s="74">
        <v>22.6</v>
      </c>
      <c r="G28" s="56" t="s">
        <v>112</v>
      </c>
      <c r="H28" s="56">
        <f>12*46</f>
        <v>552</v>
      </c>
      <c r="I28" s="56" t="s">
        <v>119</v>
      </c>
      <c r="J28" s="76">
        <f t="shared" si="3"/>
        <v>4.0942028985507251E-2</v>
      </c>
    </row>
    <row r="29" spans="2:10" ht="15" thickBot="1" x14ac:dyDescent="0.4">
      <c r="B29" s="59" t="s">
        <v>858</v>
      </c>
      <c r="C29" s="56" t="s">
        <v>874</v>
      </c>
      <c r="D29" s="56" t="s">
        <v>875</v>
      </c>
      <c r="E29" s="56" t="s">
        <v>866</v>
      </c>
      <c r="F29" s="74">
        <v>26.13</v>
      </c>
      <c r="G29" s="56" t="s">
        <v>112</v>
      </c>
      <c r="H29" s="56">
        <f>6*114</f>
        <v>684</v>
      </c>
      <c r="I29" s="56" t="s">
        <v>119</v>
      </c>
      <c r="J29" s="76">
        <f t="shared" si="3"/>
        <v>3.820175438596491E-2</v>
      </c>
    </row>
    <row r="30" spans="2:10" ht="15" thickBot="1" x14ac:dyDescent="0.4">
      <c r="B30" s="59" t="s">
        <v>858</v>
      </c>
      <c r="C30" s="56" t="s">
        <v>876</v>
      </c>
      <c r="D30" s="56" t="s">
        <v>877</v>
      </c>
      <c r="E30" s="56" t="s">
        <v>866</v>
      </c>
      <c r="F30" s="74">
        <v>70.89</v>
      </c>
      <c r="G30" s="56" t="s">
        <v>112</v>
      </c>
      <c r="H30" s="56">
        <v>786</v>
      </c>
      <c r="I30" s="56" t="s">
        <v>119</v>
      </c>
      <c r="J30" s="76">
        <f t="shared" si="3"/>
        <v>9.0190839694656494E-2</v>
      </c>
    </row>
    <row r="31" spans="2:10" ht="15" thickBot="1" x14ac:dyDescent="0.4">
      <c r="B31" s="59" t="s">
        <v>858</v>
      </c>
      <c r="C31" s="56" t="s">
        <v>878</v>
      </c>
      <c r="D31" s="56" t="s">
        <v>879</v>
      </c>
      <c r="E31" s="56" t="s">
        <v>880</v>
      </c>
      <c r="F31" s="74">
        <v>44.26</v>
      </c>
      <c r="G31" s="56" t="s">
        <v>112</v>
      </c>
      <c r="H31" s="56">
        <f>6*98</f>
        <v>588</v>
      </c>
      <c r="I31" s="56" t="s">
        <v>119</v>
      </c>
      <c r="J31" s="76">
        <f t="shared" si="3"/>
        <v>7.5272108843537411E-2</v>
      </c>
    </row>
    <row r="32" spans="2:10" ht="15" thickBot="1" x14ac:dyDescent="0.4">
      <c r="B32" s="59" t="s">
        <v>858</v>
      </c>
      <c r="C32" s="56" t="s">
        <v>881</v>
      </c>
      <c r="D32" s="56" t="s">
        <v>437</v>
      </c>
      <c r="E32" s="56" t="s">
        <v>866</v>
      </c>
      <c r="F32" s="74">
        <v>50.68</v>
      </c>
      <c r="G32" s="56" t="s">
        <v>112</v>
      </c>
      <c r="H32" s="56">
        <f>6*55</f>
        <v>330</v>
      </c>
      <c r="I32" s="56" t="s">
        <v>119</v>
      </c>
      <c r="J32" s="76">
        <f t="shared" si="3"/>
        <v>0.15357575757575759</v>
      </c>
    </row>
    <row r="33" spans="2:10" ht="15" thickBot="1" x14ac:dyDescent="0.4">
      <c r="B33" s="59" t="s">
        <v>858</v>
      </c>
      <c r="C33" s="56" t="s">
        <v>882</v>
      </c>
      <c r="D33" s="56" t="s">
        <v>883</v>
      </c>
      <c r="E33" s="56" t="s">
        <v>884</v>
      </c>
      <c r="F33" s="74">
        <v>127.67</v>
      </c>
      <c r="G33" s="56" t="s">
        <v>112</v>
      </c>
      <c r="H33" s="56">
        <v>634</v>
      </c>
      <c r="I33" s="56" t="s">
        <v>119</v>
      </c>
      <c r="J33" s="76">
        <f t="shared" si="3"/>
        <v>0.20137223974763407</v>
      </c>
    </row>
    <row r="34" spans="2:10" ht="15" thickBot="1" x14ac:dyDescent="0.4">
      <c r="B34" s="59" t="s">
        <v>858</v>
      </c>
      <c r="C34" s="56" t="s">
        <v>885</v>
      </c>
      <c r="D34" s="56" t="s">
        <v>437</v>
      </c>
      <c r="E34" s="56" t="s">
        <v>866</v>
      </c>
      <c r="F34" s="74">
        <v>54.11</v>
      </c>
      <c r="G34" s="56" t="s">
        <v>112</v>
      </c>
      <c r="H34" s="56">
        <f>6*55</f>
        <v>330</v>
      </c>
      <c r="I34" s="56" t="s">
        <v>119</v>
      </c>
      <c r="J34" s="76">
        <f t="shared" si="3"/>
        <v>0.16396969696969696</v>
      </c>
    </row>
    <row r="35" spans="2:10" ht="15" thickBot="1" x14ac:dyDescent="0.4">
      <c r="B35" s="59" t="s">
        <v>858</v>
      </c>
      <c r="C35" s="56" t="s">
        <v>886</v>
      </c>
      <c r="D35" s="56" t="s">
        <v>437</v>
      </c>
      <c r="E35" s="56" t="s">
        <v>866</v>
      </c>
      <c r="F35" s="74">
        <v>51.3</v>
      </c>
      <c r="G35" s="56" t="s">
        <v>112</v>
      </c>
      <c r="H35" s="56">
        <v>444</v>
      </c>
      <c r="I35" s="56" t="s">
        <v>119</v>
      </c>
      <c r="J35" s="76">
        <f t="shared" si="3"/>
        <v>0.11554054054054054</v>
      </c>
    </row>
    <row r="36" spans="2:10" ht="15" thickBot="1" x14ac:dyDescent="0.4">
      <c r="B36" s="59" t="s">
        <v>858</v>
      </c>
      <c r="C36" s="56" t="s">
        <v>83</v>
      </c>
      <c r="D36" s="56" t="s">
        <v>182</v>
      </c>
      <c r="E36" s="56" t="s">
        <v>261</v>
      </c>
      <c r="F36" s="74">
        <v>32.97</v>
      </c>
      <c r="G36" s="56" t="s">
        <v>112</v>
      </c>
      <c r="H36" s="56">
        <v>512</v>
      </c>
      <c r="I36" s="56" t="s">
        <v>119</v>
      </c>
      <c r="J36" s="76">
        <f t="shared" si="3"/>
        <v>6.4394531249999998E-2</v>
      </c>
    </row>
    <row r="37" spans="2:10" ht="15" thickBot="1" x14ac:dyDescent="0.4">
      <c r="B37" s="59" t="s">
        <v>858</v>
      </c>
      <c r="C37" s="56" t="s">
        <v>887</v>
      </c>
      <c r="D37" s="56" t="s">
        <v>888</v>
      </c>
      <c r="E37" s="56" t="s">
        <v>261</v>
      </c>
      <c r="F37" s="74">
        <v>19.64</v>
      </c>
      <c r="G37" s="56" t="s">
        <v>112</v>
      </c>
      <c r="H37" s="56">
        <v>512</v>
      </c>
      <c r="I37" s="56" t="s">
        <v>119</v>
      </c>
      <c r="J37" s="76">
        <f t="shared" si="3"/>
        <v>3.8359375000000001E-2</v>
      </c>
    </row>
    <row r="38" spans="2:10" ht="15" thickBot="1" x14ac:dyDescent="0.4">
      <c r="B38" s="59" t="s">
        <v>858</v>
      </c>
      <c r="C38" s="56" t="s">
        <v>889</v>
      </c>
      <c r="D38" s="56" t="s">
        <v>888</v>
      </c>
      <c r="E38" s="56" t="s">
        <v>866</v>
      </c>
      <c r="F38" s="74">
        <v>41.68</v>
      </c>
      <c r="G38" s="56" t="s">
        <v>112</v>
      </c>
      <c r="H38" s="56">
        <f>6*102</f>
        <v>612</v>
      </c>
      <c r="I38" s="56" t="s">
        <v>119</v>
      </c>
      <c r="J38" s="76">
        <f t="shared" si="3"/>
        <v>6.8104575163398698E-2</v>
      </c>
    </row>
    <row r="39" spans="2:10" ht="15" thickBot="1" x14ac:dyDescent="0.4">
      <c r="B39" s="59" t="s">
        <v>858</v>
      </c>
      <c r="C39" s="56" t="s">
        <v>99</v>
      </c>
      <c r="D39" s="56" t="s">
        <v>890</v>
      </c>
      <c r="E39" s="56" t="s">
        <v>891</v>
      </c>
      <c r="F39" s="74">
        <v>18.760000000000002</v>
      </c>
      <c r="G39" s="56" t="s">
        <v>112</v>
      </c>
      <c r="H39" s="56">
        <v>84</v>
      </c>
      <c r="I39" s="56" t="s">
        <v>119</v>
      </c>
      <c r="J39" s="76">
        <f t="shared" si="3"/>
        <v>0.22333333333333336</v>
      </c>
    </row>
    <row r="40" spans="2:10" ht="15" thickBot="1" x14ac:dyDescent="0.4">
      <c r="B40" s="59" t="s">
        <v>858</v>
      </c>
      <c r="C40" s="56" t="s">
        <v>892</v>
      </c>
      <c r="D40" s="56" t="s">
        <v>126</v>
      </c>
      <c r="E40" s="56" t="s">
        <v>866</v>
      </c>
      <c r="F40" s="74">
        <v>30.51</v>
      </c>
      <c r="G40" s="56" t="s">
        <v>112</v>
      </c>
      <c r="H40" s="56">
        <v>480</v>
      </c>
      <c r="I40" s="56" t="s">
        <v>119</v>
      </c>
      <c r="J40" s="76">
        <f t="shared" si="3"/>
        <v>6.3562500000000008E-2</v>
      </c>
    </row>
    <row r="41" spans="2:10" ht="15" thickBot="1" x14ac:dyDescent="0.4">
      <c r="B41" s="59" t="s">
        <v>858</v>
      </c>
      <c r="C41" s="56" t="s">
        <v>82</v>
      </c>
      <c r="D41" s="56" t="s">
        <v>893</v>
      </c>
      <c r="E41" s="56" t="s">
        <v>894</v>
      </c>
      <c r="F41" s="74">
        <v>39.799999999999997</v>
      </c>
      <c r="G41" s="56" t="s">
        <v>112</v>
      </c>
      <c r="H41" s="56">
        <v>336</v>
      </c>
      <c r="I41" s="56" t="s">
        <v>119</v>
      </c>
      <c r="J41" s="76">
        <f t="shared" si="3"/>
        <v>0.11845238095238095</v>
      </c>
    </row>
    <row r="42" spans="2:10" ht="15" thickBot="1" x14ac:dyDescent="0.4">
      <c r="B42" s="59" t="s">
        <v>858</v>
      </c>
      <c r="C42" s="56" t="s">
        <v>895</v>
      </c>
      <c r="D42" s="56" t="s">
        <v>437</v>
      </c>
      <c r="E42" s="56" t="s">
        <v>896</v>
      </c>
      <c r="F42" s="74">
        <v>27.21</v>
      </c>
      <c r="G42" s="56" t="s">
        <v>112</v>
      </c>
      <c r="H42" s="56">
        <f>5*128</f>
        <v>640</v>
      </c>
      <c r="I42" s="56" t="s">
        <v>119</v>
      </c>
      <c r="J42" s="76">
        <f t="shared" si="3"/>
        <v>4.2515625000000001E-2</v>
      </c>
    </row>
    <row r="43" spans="2:10" ht="15" thickBot="1" x14ac:dyDescent="0.4">
      <c r="B43" s="59" t="s">
        <v>858</v>
      </c>
      <c r="C43" s="56" t="s">
        <v>897</v>
      </c>
      <c r="D43" s="56" t="s">
        <v>376</v>
      </c>
      <c r="E43" s="56" t="s">
        <v>866</v>
      </c>
      <c r="F43" s="74">
        <v>45.97</v>
      </c>
      <c r="G43" s="56" t="s">
        <v>112</v>
      </c>
      <c r="H43" s="56">
        <f>6*6*16+11</f>
        <v>587</v>
      </c>
      <c r="I43" s="56" t="s">
        <v>119</v>
      </c>
      <c r="J43" s="76">
        <f t="shared" si="3"/>
        <v>7.8313458262350935E-2</v>
      </c>
    </row>
    <row r="44" spans="2:10" ht="15" thickBot="1" x14ac:dyDescent="0.4">
      <c r="B44" s="59" t="s">
        <v>858</v>
      </c>
      <c r="C44" s="56" t="s">
        <v>898</v>
      </c>
      <c r="D44" s="56" t="s">
        <v>899</v>
      </c>
      <c r="E44" s="56" t="s">
        <v>866</v>
      </c>
      <c r="F44" s="74">
        <v>97.16</v>
      </c>
      <c r="G44" s="56" t="s">
        <v>112</v>
      </c>
      <c r="H44" s="56">
        <f>6*8*16</f>
        <v>768</v>
      </c>
      <c r="I44" s="56" t="s">
        <v>119</v>
      </c>
      <c r="J44" s="76">
        <f t="shared" si="3"/>
        <v>0.12651041666666665</v>
      </c>
    </row>
    <row r="45" spans="2:10" ht="15" thickBot="1" x14ac:dyDescent="0.4">
      <c r="B45" s="59" t="s">
        <v>858</v>
      </c>
      <c r="C45" s="56" t="s">
        <v>900</v>
      </c>
      <c r="D45" s="56" t="s">
        <v>877</v>
      </c>
      <c r="E45" s="56" t="s">
        <v>866</v>
      </c>
      <c r="F45" s="74">
        <v>98.04</v>
      </c>
      <c r="G45" s="56" t="s">
        <v>112</v>
      </c>
      <c r="H45" s="56">
        <v>786</v>
      </c>
      <c r="I45" s="56" t="s">
        <v>119</v>
      </c>
      <c r="J45" s="76">
        <f t="shared" si="3"/>
        <v>0.12473282442748092</v>
      </c>
    </row>
    <row r="46" spans="2:10" ht="15" thickBot="1" x14ac:dyDescent="0.4">
      <c r="B46" s="59" t="s">
        <v>858</v>
      </c>
      <c r="C46" s="56" t="s">
        <v>901</v>
      </c>
      <c r="D46" s="56" t="s">
        <v>437</v>
      </c>
      <c r="E46" s="56" t="s">
        <v>866</v>
      </c>
      <c r="F46" s="74">
        <v>27.87</v>
      </c>
      <c r="G46" s="56" t="s">
        <v>112</v>
      </c>
      <c r="H46" s="56">
        <f>6*7*16</f>
        <v>672</v>
      </c>
      <c r="I46" s="56" t="s">
        <v>119</v>
      </c>
      <c r="J46" s="76">
        <f t="shared" si="3"/>
        <v>4.1473214285714287E-2</v>
      </c>
    </row>
    <row r="47" spans="2:10" ht="15" thickBot="1" x14ac:dyDescent="0.4">
      <c r="B47" s="59" t="s">
        <v>858</v>
      </c>
      <c r="C47" s="56" t="s">
        <v>902</v>
      </c>
      <c r="D47" s="56" t="s">
        <v>376</v>
      </c>
      <c r="E47" s="56" t="s">
        <v>866</v>
      </c>
      <c r="F47" s="74">
        <v>26.34</v>
      </c>
      <c r="G47" s="56" t="s">
        <v>112</v>
      </c>
      <c r="H47" s="56">
        <f>6*7*16</f>
        <v>672</v>
      </c>
      <c r="I47" s="56" t="s">
        <v>119</v>
      </c>
      <c r="J47" s="76">
        <f t="shared" si="3"/>
        <v>3.919642857142857E-2</v>
      </c>
    </row>
    <row r="48" spans="2:10" ht="15" thickBot="1" x14ac:dyDescent="0.4">
      <c r="B48" s="59" t="s">
        <v>858</v>
      </c>
      <c r="C48" s="56" t="s">
        <v>903</v>
      </c>
      <c r="D48" s="56" t="s">
        <v>904</v>
      </c>
      <c r="E48" s="56" t="s">
        <v>866</v>
      </c>
      <c r="F48" s="74">
        <v>40.69</v>
      </c>
      <c r="G48" s="56" t="s">
        <v>112</v>
      </c>
      <c r="H48" s="56">
        <v>636</v>
      </c>
      <c r="I48" s="56" t="s">
        <v>119</v>
      </c>
      <c r="J48" s="76">
        <f t="shared" si="3"/>
        <v>6.397798742138365E-2</v>
      </c>
    </row>
    <row r="49" spans="2:10" ht="15" thickBot="1" x14ac:dyDescent="0.4">
      <c r="B49" s="59" t="s">
        <v>858</v>
      </c>
      <c r="C49" s="56" t="s">
        <v>905</v>
      </c>
      <c r="D49" s="56" t="s">
        <v>906</v>
      </c>
      <c r="E49" s="56" t="s">
        <v>866</v>
      </c>
      <c r="F49" s="74">
        <v>30.84</v>
      </c>
      <c r="G49" s="56" t="s">
        <v>112</v>
      </c>
      <c r="H49" s="56">
        <f>6*113</f>
        <v>678</v>
      </c>
      <c r="I49" s="56" t="s">
        <v>119</v>
      </c>
      <c r="J49" s="76">
        <f t="shared" si="3"/>
        <v>4.5486725663716816E-2</v>
      </c>
    </row>
    <row r="50" spans="2:10" ht="15" thickBot="1" x14ac:dyDescent="0.4">
      <c r="B50" s="59" t="s">
        <v>858</v>
      </c>
      <c r="C50" s="56" t="s">
        <v>907</v>
      </c>
      <c r="D50" s="56" t="s">
        <v>875</v>
      </c>
      <c r="E50" s="56" t="s">
        <v>866</v>
      </c>
      <c r="F50" s="74">
        <v>25.62</v>
      </c>
      <c r="G50" s="56" t="s">
        <v>112</v>
      </c>
      <c r="H50" s="56">
        <f>6*6*16+10</f>
        <v>586</v>
      </c>
      <c r="I50" s="56" t="s">
        <v>119</v>
      </c>
      <c r="J50" s="76">
        <f t="shared" si="3"/>
        <v>4.3720136518771331E-2</v>
      </c>
    </row>
    <row r="51" spans="2:10" ht="15" thickBot="1" x14ac:dyDescent="0.4">
      <c r="B51" s="59" t="s">
        <v>858</v>
      </c>
      <c r="C51" s="56" t="s">
        <v>908</v>
      </c>
      <c r="D51" s="56" t="s">
        <v>437</v>
      </c>
      <c r="E51" s="56" t="s">
        <v>909</v>
      </c>
      <c r="F51" s="74">
        <v>14.59</v>
      </c>
      <c r="G51" s="56" t="s">
        <v>112</v>
      </c>
      <c r="H51" s="56">
        <f>2*128</f>
        <v>256</v>
      </c>
      <c r="I51" s="56" t="s">
        <v>119</v>
      </c>
      <c r="J51" s="76">
        <f t="shared" si="3"/>
        <v>5.6992187499999999E-2</v>
      </c>
    </row>
    <row r="52" spans="2:10" ht="15" thickBot="1" x14ac:dyDescent="0.4">
      <c r="B52" s="59" t="s">
        <v>858</v>
      </c>
      <c r="C52" s="56" t="s">
        <v>910</v>
      </c>
      <c r="D52" s="56" t="s">
        <v>888</v>
      </c>
      <c r="E52" s="56" t="s">
        <v>866</v>
      </c>
      <c r="F52" s="74">
        <v>26.22</v>
      </c>
      <c r="G52" s="56" t="s">
        <v>112</v>
      </c>
      <c r="H52" s="56">
        <v>600</v>
      </c>
      <c r="I52" s="56" t="s">
        <v>119</v>
      </c>
      <c r="J52" s="76">
        <f t="shared" si="3"/>
        <v>4.3699999999999996E-2</v>
      </c>
    </row>
    <row r="53" spans="2:10" ht="15" thickBot="1" x14ac:dyDescent="0.4">
      <c r="B53" s="59" t="s">
        <v>858</v>
      </c>
      <c r="C53" s="56" t="s">
        <v>911</v>
      </c>
      <c r="D53" s="56" t="s">
        <v>888</v>
      </c>
      <c r="E53" s="56" t="s">
        <v>866</v>
      </c>
      <c r="F53" s="74">
        <v>24.58</v>
      </c>
      <c r="G53" s="56" t="s">
        <v>112</v>
      </c>
      <c r="H53" s="56">
        <f>6*6*16+4</f>
        <v>580</v>
      </c>
      <c r="I53" s="56" t="s">
        <v>119</v>
      </c>
      <c r="J53" s="76">
        <f t="shared" si="3"/>
        <v>4.2379310344827587E-2</v>
      </c>
    </row>
    <row r="54" spans="2:10" ht="15" thickBot="1" x14ac:dyDescent="0.4">
      <c r="B54" s="59" t="s">
        <v>858</v>
      </c>
      <c r="C54" s="56" t="s">
        <v>912</v>
      </c>
      <c r="D54" s="56" t="s">
        <v>875</v>
      </c>
      <c r="E54" s="56" t="s">
        <v>866</v>
      </c>
      <c r="F54" s="74">
        <v>22.93</v>
      </c>
      <c r="G54" s="56" t="s">
        <v>112</v>
      </c>
      <c r="H54" s="56">
        <f>6*6*16+6</f>
        <v>582</v>
      </c>
      <c r="I54" s="56" t="s">
        <v>119</v>
      </c>
      <c r="J54" s="76">
        <f t="shared" si="3"/>
        <v>3.9398625429553268E-2</v>
      </c>
    </row>
    <row r="55" spans="2:10" ht="15" thickBot="1" x14ac:dyDescent="0.4">
      <c r="B55" s="59" t="s">
        <v>858</v>
      </c>
      <c r="C55" s="56" t="s">
        <v>913</v>
      </c>
      <c r="D55" s="56" t="s">
        <v>126</v>
      </c>
      <c r="E55" s="56" t="s">
        <v>866</v>
      </c>
      <c r="F55" s="74">
        <v>39.56</v>
      </c>
      <c r="G55" s="56" t="s">
        <v>112</v>
      </c>
      <c r="H55" s="56">
        <f>6*6*16+6</f>
        <v>582</v>
      </c>
      <c r="I55" s="56" t="s">
        <v>119</v>
      </c>
      <c r="J55" s="76">
        <f t="shared" si="3"/>
        <v>6.7972508591065295E-2</v>
      </c>
    </row>
    <row r="56" spans="2:10" ht="15" thickBot="1" x14ac:dyDescent="0.4">
      <c r="B56" s="59" t="s">
        <v>858</v>
      </c>
      <c r="C56" s="56" t="s">
        <v>914</v>
      </c>
      <c r="D56" s="56" t="s">
        <v>182</v>
      </c>
      <c r="E56" s="56" t="s">
        <v>866</v>
      </c>
      <c r="F56" s="74">
        <v>28.02</v>
      </c>
      <c r="G56" s="56" t="s">
        <v>112</v>
      </c>
      <c r="H56" s="56">
        <f>6*6*16+10</f>
        <v>586</v>
      </c>
      <c r="I56" s="56" t="s">
        <v>119</v>
      </c>
      <c r="J56" s="76">
        <f t="shared" si="3"/>
        <v>4.7815699658703067E-2</v>
      </c>
    </row>
    <row r="57" spans="2:10" ht="15" thickBot="1" x14ac:dyDescent="0.4">
      <c r="B57" s="59" t="s">
        <v>858</v>
      </c>
      <c r="C57" s="56" t="s">
        <v>915</v>
      </c>
      <c r="D57" s="56" t="s">
        <v>182</v>
      </c>
      <c r="E57" s="56" t="s">
        <v>866</v>
      </c>
      <c r="F57" s="74">
        <v>38.21</v>
      </c>
      <c r="G57" s="56" t="s">
        <v>112</v>
      </c>
      <c r="H57" s="56">
        <f>6*6*16+15</f>
        <v>591</v>
      </c>
      <c r="I57" s="56" t="s">
        <v>119</v>
      </c>
      <c r="J57" s="76">
        <f t="shared" si="3"/>
        <v>6.4653130287648061E-2</v>
      </c>
    </row>
    <row r="58" spans="2:10" ht="15" thickBot="1" x14ac:dyDescent="0.4">
      <c r="B58" s="59" t="s">
        <v>858</v>
      </c>
      <c r="C58" s="56" t="s">
        <v>916</v>
      </c>
      <c r="D58" s="56" t="s">
        <v>437</v>
      </c>
      <c r="E58" s="56" t="s">
        <v>866</v>
      </c>
      <c r="F58" s="74">
        <v>26.28</v>
      </c>
      <c r="G58" s="56" t="s">
        <v>112</v>
      </c>
      <c r="H58" s="56">
        <f>6*6*16+10</f>
        <v>586</v>
      </c>
      <c r="I58" s="56" t="s">
        <v>119</v>
      </c>
      <c r="J58" s="76">
        <f t="shared" si="3"/>
        <v>4.4846416382252563E-2</v>
      </c>
    </row>
    <row r="59" spans="2:10" ht="15" thickBot="1" x14ac:dyDescent="0.4">
      <c r="B59" s="59" t="s">
        <v>858</v>
      </c>
      <c r="C59" s="56" t="s">
        <v>917</v>
      </c>
      <c r="D59" s="56" t="s">
        <v>918</v>
      </c>
      <c r="E59" s="56" t="s">
        <v>866</v>
      </c>
      <c r="F59" s="74">
        <v>26.84</v>
      </c>
      <c r="G59" s="56" t="s">
        <v>112</v>
      </c>
      <c r="H59" s="56">
        <f>6*6*16+9</f>
        <v>585</v>
      </c>
      <c r="I59" s="56" t="s">
        <v>119</v>
      </c>
      <c r="J59" s="76">
        <f t="shared" si="3"/>
        <v>4.5880341880341881E-2</v>
      </c>
    </row>
    <row r="60" spans="2:10" ht="15" thickBot="1" x14ac:dyDescent="0.4">
      <c r="B60" s="59" t="s">
        <v>919</v>
      </c>
      <c r="C60" s="56" t="s">
        <v>920</v>
      </c>
      <c r="D60" s="56" t="s">
        <v>178</v>
      </c>
      <c r="E60" s="56" t="s">
        <v>921</v>
      </c>
      <c r="F60" s="74">
        <v>54.93</v>
      </c>
      <c r="G60" s="56" t="s">
        <v>112</v>
      </c>
      <c r="H60" s="56">
        <v>336</v>
      </c>
      <c r="I60" s="56" t="s">
        <v>119</v>
      </c>
      <c r="J60" s="76">
        <f t="shared" si="3"/>
        <v>0.16348214285714285</v>
      </c>
    </row>
    <row r="61" spans="2:10" ht="15" thickBot="1" x14ac:dyDescent="0.4">
      <c r="B61" s="60" t="s">
        <v>919</v>
      </c>
      <c r="C61" s="61" t="s">
        <v>922</v>
      </c>
      <c r="D61" s="61" t="s">
        <v>923</v>
      </c>
      <c r="E61" s="61" t="s">
        <v>924</v>
      </c>
      <c r="F61" s="75">
        <v>35.950000000000003</v>
      </c>
      <c r="G61" s="61" t="s">
        <v>112</v>
      </c>
      <c r="H61" s="61">
        <v>288</v>
      </c>
      <c r="I61" s="56" t="s">
        <v>119</v>
      </c>
      <c r="J61" s="76">
        <f t="shared" si="3"/>
        <v>0.1248263888888889</v>
      </c>
    </row>
    <row r="62" spans="2:10" ht="15" thickBot="1" x14ac:dyDescent="0.4">
      <c r="B62" s="57" t="s">
        <v>925</v>
      </c>
      <c r="C62" s="58" t="s">
        <v>926</v>
      </c>
      <c r="D62" s="58" t="s">
        <v>927</v>
      </c>
      <c r="E62" s="58" t="s">
        <v>751</v>
      </c>
      <c r="F62" s="73">
        <v>34.99</v>
      </c>
      <c r="G62" s="58" t="s">
        <v>112</v>
      </c>
      <c r="H62" s="58">
        <v>80</v>
      </c>
      <c r="I62" s="56" t="s">
        <v>119</v>
      </c>
      <c r="J62" s="76">
        <f t="shared" si="3"/>
        <v>0.43737500000000001</v>
      </c>
    </row>
    <row r="63" spans="2:10" ht="15" thickBot="1" x14ac:dyDescent="0.4">
      <c r="B63" s="59" t="s">
        <v>925</v>
      </c>
      <c r="C63" s="56" t="s">
        <v>928</v>
      </c>
      <c r="D63" s="56" t="s">
        <v>557</v>
      </c>
      <c r="E63" s="56" t="s">
        <v>751</v>
      </c>
      <c r="F63" s="74">
        <v>49.92</v>
      </c>
      <c r="G63" s="56" t="s">
        <v>112</v>
      </c>
      <c r="H63" s="56">
        <v>80</v>
      </c>
      <c r="I63" s="56" t="s">
        <v>119</v>
      </c>
      <c r="J63" s="76">
        <f t="shared" si="3"/>
        <v>0.624</v>
      </c>
    </row>
    <row r="64" spans="2:10" ht="15" thickBot="1" x14ac:dyDescent="0.4">
      <c r="B64" s="59" t="s">
        <v>925</v>
      </c>
      <c r="C64" s="56" t="s">
        <v>929</v>
      </c>
      <c r="D64" s="56" t="s">
        <v>930</v>
      </c>
      <c r="E64" s="56" t="s">
        <v>197</v>
      </c>
      <c r="F64" s="74">
        <v>25.55</v>
      </c>
      <c r="G64" s="56" t="s">
        <v>112</v>
      </c>
      <c r="H64" s="56">
        <v>160</v>
      </c>
      <c r="I64" s="56" t="s">
        <v>119</v>
      </c>
      <c r="J64" s="76">
        <f t="shared" si="3"/>
        <v>0.15968750000000001</v>
      </c>
    </row>
    <row r="65" spans="2:10" ht="15" thickBot="1" x14ac:dyDescent="0.4">
      <c r="B65" s="59" t="s">
        <v>925</v>
      </c>
      <c r="C65" s="56" t="s">
        <v>931</v>
      </c>
      <c r="D65" s="56" t="s">
        <v>932</v>
      </c>
      <c r="E65" s="56" t="s">
        <v>197</v>
      </c>
      <c r="F65" s="74">
        <v>20.3</v>
      </c>
      <c r="G65" s="56" t="s">
        <v>112</v>
      </c>
      <c r="H65" s="56">
        <v>160</v>
      </c>
      <c r="I65" s="56" t="s">
        <v>119</v>
      </c>
      <c r="J65" s="76">
        <f t="shared" si="3"/>
        <v>0.12687500000000002</v>
      </c>
    </row>
    <row r="66" spans="2:10" ht="15" thickBot="1" x14ac:dyDescent="0.4">
      <c r="B66" s="59" t="s">
        <v>925</v>
      </c>
      <c r="C66" s="56" t="s">
        <v>933</v>
      </c>
      <c r="D66" s="56" t="s">
        <v>557</v>
      </c>
      <c r="E66" s="56" t="s">
        <v>751</v>
      </c>
      <c r="F66" s="74">
        <v>35.659999999999997</v>
      </c>
      <c r="G66" s="56" t="s">
        <v>112</v>
      </c>
      <c r="H66" s="56">
        <v>80</v>
      </c>
      <c r="I66" s="56" t="s">
        <v>119</v>
      </c>
      <c r="J66" s="76">
        <f t="shared" si="3"/>
        <v>0.44574999999999998</v>
      </c>
    </row>
    <row r="67" spans="2:10" ht="15" thickBot="1" x14ac:dyDescent="0.4">
      <c r="B67" s="59" t="s">
        <v>925</v>
      </c>
      <c r="C67" s="56" t="s">
        <v>934</v>
      </c>
      <c r="D67" s="56" t="s">
        <v>557</v>
      </c>
      <c r="E67" s="56" t="s">
        <v>935</v>
      </c>
      <c r="F67" s="74">
        <v>50.04</v>
      </c>
      <c r="G67" s="56" t="s">
        <v>112</v>
      </c>
      <c r="H67" s="56">
        <v>360</v>
      </c>
      <c r="I67" s="56" t="s">
        <v>119</v>
      </c>
      <c r="J67" s="76">
        <f t="shared" si="3"/>
        <v>0.13899999999999998</v>
      </c>
    </row>
    <row r="68" spans="2:10" ht="15" thickBot="1" x14ac:dyDescent="0.4">
      <c r="B68" s="59" t="s">
        <v>925</v>
      </c>
      <c r="C68" s="56" t="s">
        <v>936</v>
      </c>
      <c r="D68" s="56" t="s">
        <v>557</v>
      </c>
      <c r="E68" s="56" t="s">
        <v>457</v>
      </c>
      <c r="F68" s="74">
        <v>51.88</v>
      </c>
      <c r="G68" s="56" t="s">
        <v>112</v>
      </c>
      <c r="H68" s="56">
        <v>384</v>
      </c>
      <c r="I68" s="56" t="s">
        <v>119</v>
      </c>
      <c r="J68" s="76">
        <f t="shared" si="3"/>
        <v>0.13510416666666666</v>
      </c>
    </row>
    <row r="69" spans="2:10" ht="15" thickBot="1" x14ac:dyDescent="0.4">
      <c r="B69" s="60" t="s">
        <v>925</v>
      </c>
      <c r="C69" s="61" t="s">
        <v>937</v>
      </c>
      <c r="D69" s="61" t="s">
        <v>182</v>
      </c>
      <c r="E69" s="61" t="s">
        <v>751</v>
      </c>
      <c r="F69" s="75">
        <v>26.26</v>
      </c>
      <c r="G69" s="61" t="s">
        <v>112</v>
      </c>
      <c r="H69" s="61">
        <v>80</v>
      </c>
      <c r="I69" s="56" t="s">
        <v>119</v>
      </c>
      <c r="J69" s="76">
        <f t="shared" si="3"/>
        <v>0.32825000000000004</v>
      </c>
    </row>
    <row r="70" spans="2:10" ht="15" thickBot="1" x14ac:dyDescent="0.4">
      <c r="B70" s="57" t="s">
        <v>938</v>
      </c>
      <c r="C70" s="58" t="s">
        <v>939</v>
      </c>
      <c r="D70" s="58" t="s">
        <v>437</v>
      </c>
      <c r="E70" s="58" t="s">
        <v>940</v>
      </c>
      <c r="F70" s="73">
        <v>9.2799999999999994</v>
      </c>
      <c r="G70" s="58" t="s">
        <v>2</v>
      </c>
      <c r="H70" s="58">
        <v>32</v>
      </c>
      <c r="I70" s="56" t="s">
        <v>119</v>
      </c>
      <c r="J70" s="76">
        <f t="shared" si="3"/>
        <v>0.28999999999999998</v>
      </c>
    </row>
    <row r="71" spans="2:10" ht="15" thickBot="1" x14ac:dyDescent="0.4">
      <c r="B71" s="62" t="s">
        <v>938</v>
      </c>
      <c r="C71" s="63" t="s">
        <v>941</v>
      </c>
      <c r="D71" s="63" t="s">
        <v>437</v>
      </c>
      <c r="E71" s="63" t="s">
        <v>942</v>
      </c>
      <c r="F71" s="78">
        <v>5.53</v>
      </c>
      <c r="G71" s="63" t="s">
        <v>2</v>
      </c>
      <c r="H71" s="63">
        <v>16</v>
      </c>
      <c r="I71" s="56" t="s">
        <v>119</v>
      </c>
      <c r="J71" s="76">
        <f t="shared" si="3"/>
        <v>0.34562500000000002</v>
      </c>
    </row>
    <row r="72" spans="2:10" ht="15" thickBot="1" x14ac:dyDescent="0.4">
      <c r="B72" s="57" t="s">
        <v>943</v>
      </c>
      <c r="C72" s="58" t="s">
        <v>944</v>
      </c>
      <c r="D72" s="58" t="s">
        <v>437</v>
      </c>
      <c r="E72" s="58" t="s">
        <v>942</v>
      </c>
      <c r="F72" s="73">
        <v>5.84</v>
      </c>
      <c r="G72" s="58" t="s">
        <v>2</v>
      </c>
      <c r="H72" s="58">
        <v>16</v>
      </c>
      <c r="I72" s="56" t="s">
        <v>119</v>
      </c>
      <c r="J72" s="76">
        <f t="shared" si="3"/>
        <v>0.36499999999999999</v>
      </c>
    </row>
    <row r="73" spans="2:10" ht="15" thickBot="1" x14ac:dyDescent="0.4">
      <c r="B73" s="59" t="s">
        <v>943</v>
      </c>
      <c r="C73" s="56" t="s">
        <v>945</v>
      </c>
      <c r="D73" s="56" t="s">
        <v>437</v>
      </c>
      <c r="E73" s="56" t="s">
        <v>942</v>
      </c>
      <c r="F73" s="74">
        <v>10.199999999999999</v>
      </c>
      <c r="G73" s="56" t="s">
        <v>2</v>
      </c>
      <c r="H73" s="56">
        <v>16</v>
      </c>
      <c r="I73" s="56" t="s">
        <v>119</v>
      </c>
      <c r="J73" s="76">
        <f t="shared" si="3"/>
        <v>0.63749999999999996</v>
      </c>
    </row>
    <row r="74" spans="2:10" ht="15" thickBot="1" x14ac:dyDescent="0.4">
      <c r="B74" s="60" t="s">
        <v>943</v>
      </c>
      <c r="C74" s="61" t="s">
        <v>946</v>
      </c>
      <c r="D74" s="61" t="s">
        <v>437</v>
      </c>
      <c r="E74" s="61" t="s">
        <v>947</v>
      </c>
      <c r="F74" s="75">
        <v>10.4</v>
      </c>
      <c r="G74" s="61" t="s">
        <v>2</v>
      </c>
      <c r="H74" s="61">
        <v>128</v>
      </c>
      <c r="I74" s="56" t="s">
        <v>119</v>
      </c>
      <c r="J74" s="76">
        <f t="shared" si="3"/>
        <v>8.1250000000000003E-2</v>
      </c>
    </row>
    <row r="75" spans="2:10" ht="15" thickBot="1" x14ac:dyDescent="0.4">
      <c r="B75" s="57" t="s">
        <v>948</v>
      </c>
      <c r="C75" s="58" t="s">
        <v>949</v>
      </c>
      <c r="D75" s="58" t="s">
        <v>950</v>
      </c>
      <c r="E75" s="58" t="s">
        <v>951</v>
      </c>
      <c r="F75" s="73">
        <v>20.3</v>
      </c>
      <c r="G75" s="58" t="s">
        <v>112</v>
      </c>
      <c r="H75" s="58">
        <v>640</v>
      </c>
      <c r="I75" s="56" t="s">
        <v>119</v>
      </c>
      <c r="J75" s="76">
        <f t="shared" si="3"/>
        <v>3.1718750000000004E-2</v>
      </c>
    </row>
    <row r="76" spans="2:10" ht="15" thickBot="1" x14ac:dyDescent="0.4">
      <c r="B76" s="59" t="s">
        <v>948</v>
      </c>
      <c r="C76" s="56" t="s">
        <v>952</v>
      </c>
      <c r="D76" s="56" t="s">
        <v>953</v>
      </c>
      <c r="E76" s="56" t="s">
        <v>280</v>
      </c>
      <c r="F76" s="74">
        <v>19.600000000000001</v>
      </c>
      <c r="G76" s="56" t="s">
        <v>112</v>
      </c>
      <c r="H76" s="56">
        <v>400</v>
      </c>
      <c r="I76" s="56" t="s">
        <v>119</v>
      </c>
      <c r="J76" s="76">
        <f t="shared" si="3"/>
        <v>4.9000000000000002E-2</v>
      </c>
    </row>
    <row r="77" spans="2:10" ht="15" thickBot="1" x14ac:dyDescent="0.4">
      <c r="B77" s="59" t="s">
        <v>948</v>
      </c>
      <c r="C77" s="56" t="s">
        <v>954</v>
      </c>
      <c r="D77" s="56" t="s">
        <v>955</v>
      </c>
      <c r="E77" s="56" t="s">
        <v>795</v>
      </c>
      <c r="F77" s="74">
        <v>28.1</v>
      </c>
      <c r="G77" s="56" t="s">
        <v>112</v>
      </c>
      <c r="H77" s="56">
        <v>800</v>
      </c>
      <c r="I77" s="56" t="s">
        <v>119</v>
      </c>
      <c r="J77" s="76">
        <f t="shared" si="3"/>
        <v>3.5125000000000003E-2</v>
      </c>
    </row>
    <row r="78" spans="2:10" ht="15" thickBot="1" x14ac:dyDescent="0.4">
      <c r="B78" s="59" t="s">
        <v>948</v>
      </c>
      <c r="C78" s="56" t="s">
        <v>956</v>
      </c>
      <c r="D78" s="56" t="s">
        <v>957</v>
      </c>
      <c r="E78" s="56" t="s">
        <v>795</v>
      </c>
      <c r="F78" s="74">
        <v>15.4</v>
      </c>
      <c r="G78" s="56" t="s">
        <v>112</v>
      </c>
      <c r="H78" s="56">
        <v>800</v>
      </c>
      <c r="I78" s="56" t="s">
        <v>119</v>
      </c>
      <c r="J78" s="76">
        <f t="shared" si="3"/>
        <v>1.925E-2</v>
      </c>
    </row>
    <row r="79" spans="2:10" ht="15" thickBot="1" x14ac:dyDescent="0.4">
      <c r="B79" s="59" t="s">
        <v>948</v>
      </c>
      <c r="C79" s="56" t="s">
        <v>958</v>
      </c>
      <c r="D79" s="56" t="s">
        <v>957</v>
      </c>
      <c r="E79" s="56" t="s">
        <v>795</v>
      </c>
      <c r="F79" s="74">
        <v>14.2</v>
      </c>
      <c r="G79" s="56" t="s">
        <v>112</v>
      </c>
      <c r="H79" s="56">
        <v>800</v>
      </c>
      <c r="I79" s="56" t="s">
        <v>119</v>
      </c>
      <c r="J79" s="76">
        <f t="shared" si="3"/>
        <v>1.7749999999999998E-2</v>
      </c>
    </row>
    <row r="80" spans="2:10" ht="15" thickBot="1" x14ac:dyDescent="0.4">
      <c r="B80" s="59" t="s">
        <v>948</v>
      </c>
      <c r="C80" s="56" t="s">
        <v>959</v>
      </c>
      <c r="D80" s="56" t="s">
        <v>957</v>
      </c>
      <c r="E80" s="56" t="s">
        <v>795</v>
      </c>
      <c r="F80" s="74">
        <v>12.9</v>
      </c>
      <c r="G80" s="56" t="s">
        <v>112</v>
      </c>
      <c r="H80" s="56">
        <v>800</v>
      </c>
      <c r="I80" s="56" t="s">
        <v>119</v>
      </c>
      <c r="J80" s="76">
        <f t="shared" si="3"/>
        <v>1.6125E-2</v>
      </c>
    </row>
    <row r="81" spans="2:10" ht="15" thickBot="1" x14ac:dyDescent="0.4">
      <c r="B81" s="62" t="s">
        <v>948</v>
      </c>
      <c r="C81" s="63" t="s">
        <v>960</v>
      </c>
      <c r="D81" s="63" t="s">
        <v>961</v>
      </c>
      <c r="E81" s="63" t="s">
        <v>962</v>
      </c>
      <c r="F81" s="78">
        <v>21.2</v>
      </c>
      <c r="G81" s="63" t="s">
        <v>112</v>
      </c>
      <c r="H81" s="63">
        <v>800</v>
      </c>
      <c r="I81" s="56" t="s">
        <v>119</v>
      </c>
      <c r="J81" s="76">
        <f t="shared" si="3"/>
        <v>2.6499999999999999E-2</v>
      </c>
    </row>
    <row r="82" spans="2:10" ht="15" thickBot="1" x14ac:dyDescent="0.4">
      <c r="B82" s="57" t="s">
        <v>963</v>
      </c>
      <c r="C82" s="58" t="s">
        <v>964</v>
      </c>
      <c r="D82" s="58" t="s">
        <v>182</v>
      </c>
      <c r="E82" s="58" t="s">
        <v>197</v>
      </c>
      <c r="F82" s="73">
        <v>13.8</v>
      </c>
      <c r="G82" s="58" t="s">
        <v>112</v>
      </c>
      <c r="H82" s="58">
        <v>160</v>
      </c>
      <c r="I82" s="56" t="s">
        <v>119</v>
      </c>
      <c r="J82" s="76">
        <f t="shared" si="3"/>
        <v>8.6250000000000007E-2</v>
      </c>
    </row>
    <row r="83" spans="2:10" ht="15" thickBot="1" x14ac:dyDescent="0.4">
      <c r="B83" s="59" t="s">
        <v>963</v>
      </c>
      <c r="C83" s="56" t="s">
        <v>965</v>
      </c>
      <c r="D83" s="56" t="s">
        <v>855</v>
      </c>
      <c r="E83" s="56" t="s">
        <v>444</v>
      </c>
      <c r="F83" s="74">
        <v>13.7</v>
      </c>
      <c r="G83" s="56" t="s">
        <v>112</v>
      </c>
      <c r="H83" s="56">
        <v>320</v>
      </c>
      <c r="I83" s="56" t="s">
        <v>119</v>
      </c>
      <c r="J83" s="76">
        <f t="shared" si="3"/>
        <v>4.2812499999999996E-2</v>
      </c>
    </row>
    <row r="84" spans="2:10" ht="15" thickBot="1" x14ac:dyDescent="0.4">
      <c r="B84" s="59" t="s">
        <v>963</v>
      </c>
      <c r="C84" s="56" t="s">
        <v>966</v>
      </c>
      <c r="D84" s="56" t="s">
        <v>893</v>
      </c>
      <c r="E84" s="56" t="s">
        <v>967</v>
      </c>
      <c r="F84" s="74">
        <v>39.9</v>
      </c>
      <c r="G84" s="56" t="s">
        <v>112</v>
      </c>
      <c r="H84" s="56">
        <v>140</v>
      </c>
      <c r="I84" s="56" t="s">
        <v>119</v>
      </c>
      <c r="J84" s="76">
        <f t="shared" si="3"/>
        <v>0.28499999999999998</v>
      </c>
    </row>
    <row r="85" spans="2:10" ht="15" thickBot="1" x14ac:dyDescent="0.4">
      <c r="B85" s="59" t="s">
        <v>963</v>
      </c>
      <c r="C85" s="56" t="s">
        <v>968</v>
      </c>
      <c r="D85" s="56" t="s">
        <v>969</v>
      </c>
      <c r="E85" s="56" t="s">
        <v>970</v>
      </c>
      <c r="F85" s="74">
        <v>48.6</v>
      </c>
      <c r="G85" s="56" t="s">
        <v>112</v>
      </c>
      <c r="H85" s="56">
        <v>352</v>
      </c>
      <c r="I85" s="56" t="s">
        <v>119</v>
      </c>
      <c r="J85" s="76">
        <f t="shared" si="3"/>
        <v>0.13806818181818181</v>
      </c>
    </row>
    <row r="86" spans="2:10" ht="15" thickBot="1" x14ac:dyDescent="0.4">
      <c r="B86" s="59" t="s">
        <v>963</v>
      </c>
      <c r="C86" s="56" t="s">
        <v>971</v>
      </c>
      <c r="D86" s="56" t="s">
        <v>883</v>
      </c>
      <c r="E86" s="56" t="s">
        <v>236</v>
      </c>
      <c r="F86" s="74">
        <v>53.1</v>
      </c>
      <c r="G86" s="56" t="s">
        <v>112</v>
      </c>
      <c r="H86" s="56">
        <v>160</v>
      </c>
      <c r="I86" s="56" t="s">
        <v>119</v>
      </c>
      <c r="J86" s="76">
        <f t="shared" ref="J86:J150" si="4">F86/H86</f>
        <v>0.33187500000000003</v>
      </c>
    </row>
    <row r="87" spans="2:10" ht="15" thickBot="1" x14ac:dyDescent="0.4">
      <c r="B87" s="59" t="s">
        <v>963</v>
      </c>
      <c r="C87" s="56" t="s">
        <v>972</v>
      </c>
      <c r="D87" s="56" t="s">
        <v>883</v>
      </c>
      <c r="E87" s="56" t="s">
        <v>236</v>
      </c>
      <c r="F87" s="74">
        <v>41.5</v>
      </c>
      <c r="G87" s="56" t="s">
        <v>112</v>
      </c>
      <c r="H87" s="56">
        <v>160</v>
      </c>
      <c r="I87" s="56" t="s">
        <v>119</v>
      </c>
      <c r="J87" s="76">
        <f t="shared" si="4"/>
        <v>0.25937500000000002</v>
      </c>
    </row>
    <row r="88" spans="2:10" ht="15" thickBot="1" x14ac:dyDescent="0.4">
      <c r="B88" s="59" t="s">
        <v>963</v>
      </c>
      <c r="C88" s="56" t="s">
        <v>973</v>
      </c>
      <c r="D88" s="56" t="s">
        <v>893</v>
      </c>
      <c r="E88" s="56" t="s">
        <v>197</v>
      </c>
      <c r="F88" s="74">
        <v>17.600000000000001</v>
      </c>
      <c r="G88" s="56" t="s">
        <v>112</v>
      </c>
      <c r="H88" s="56">
        <v>160</v>
      </c>
      <c r="I88" s="56" t="s">
        <v>119</v>
      </c>
      <c r="J88" s="76">
        <f t="shared" si="4"/>
        <v>0.11000000000000001</v>
      </c>
    </row>
    <row r="89" spans="2:10" ht="15" thickBot="1" x14ac:dyDescent="0.4">
      <c r="B89" s="62" t="s">
        <v>963</v>
      </c>
      <c r="C89" s="63" t="s">
        <v>974</v>
      </c>
      <c r="D89" s="63" t="s">
        <v>975</v>
      </c>
      <c r="E89" s="63" t="s">
        <v>197</v>
      </c>
      <c r="F89" s="78">
        <v>57.1</v>
      </c>
      <c r="G89" s="63" t="s">
        <v>112</v>
      </c>
      <c r="H89" s="63">
        <v>160</v>
      </c>
      <c r="I89" s="56" t="s">
        <v>119</v>
      </c>
      <c r="J89" s="76">
        <f t="shared" si="4"/>
        <v>0.356875</v>
      </c>
    </row>
    <row r="90" spans="2:10" ht="15" thickBot="1" x14ac:dyDescent="0.4">
      <c r="B90" s="57" t="s">
        <v>976</v>
      </c>
      <c r="C90" s="58" t="s">
        <v>977</v>
      </c>
      <c r="D90" s="58" t="s">
        <v>978</v>
      </c>
      <c r="E90" s="58" t="s">
        <v>979</v>
      </c>
      <c r="F90" s="73">
        <v>34.5</v>
      </c>
      <c r="G90" s="58" t="s">
        <v>112</v>
      </c>
      <c r="H90" s="58">
        <f>3*128</f>
        <v>384</v>
      </c>
      <c r="I90" s="56" t="s">
        <v>119</v>
      </c>
      <c r="J90" s="76">
        <f t="shared" si="4"/>
        <v>8.984375E-2</v>
      </c>
    </row>
    <row r="91" spans="2:10" ht="15" thickBot="1" x14ac:dyDescent="0.4">
      <c r="B91" s="59" t="s">
        <v>976</v>
      </c>
      <c r="C91" s="56" t="s">
        <v>75</v>
      </c>
      <c r="D91" s="56" t="s">
        <v>980</v>
      </c>
      <c r="E91" s="56" t="s">
        <v>276</v>
      </c>
      <c r="F91" s="74">
        <v>21.4</v>
      </c>
      <c r="G91" s="56" t="s">
        <v>112</v>
      </c>
      <c r="H91" s="56">
        <f>6*32</f>
        <v>192</v>
      </c>
      <c r="I91" s="56" t="s">
        <v>119</v>
      </c>
      <c r="J91" s="76">
        <f t="shared" si="4"/>
        <v>0.11145833333333333</v>
      </c>
    </row>
    <row r="92" spans="2:10" ht="15" thickBot="1" x14ac:dyDescent="0.4">
      <c r="B92" s="59" t="s">
        <v>976</v>
      </c>
      <c r="C92" s="56" t="s">
        <v>47</v>
      </c>
      <c r="D92" s="56" t="s">
        <v>980</v>
      </c>
      <c r="E92" s="56" t="s">
        <v>276</v>
      </c>
      <c r="F92" s="74">
        <v>21.7</v>
      </c>
      <c r="G92" s="56" t="s">
        <v>112</v>
      </c>
      <c r="H92" s="56">
        <f>6*32</f>
        <v>192</v>
      </c>
      <c r="I92" s="56" t="s">
        <v>119</v>
      </c>
      <c r="J92" s="76">
        <f t="shared" si="4"/>
        <v>0.11302083333333333</v>
      </c>
    </row>
    <row r="93" spans="2:10" ht="15" thickBot="1" x14ac:dyDescent="0.4">
      <c r="B93" s="62" t="s">
        <v>976</v>
      </c>
      <c r="C93" s="63" t="s">
        <v>981</v>
      </c>
      <c r="D93" s="63" t="s">
        <v>980</v>
      </c>
      <c r="E93" s="63" t="s">
        <v>261</v>
      </c>
      <c r="F93" s="78">
        <v>32.9</v>
      </c>
      <c r="G93" s="63" t="s">
        <v>112</v>
      </c>
      <c r="H93" s="63">
        <f>4*128</f>
        <v>512</v>
      </c>
      <c r="I93" s="56" t="s">
        <v>119</v>
      </c>
      <c r="J93" s="76">
        <f t="shared" si="4"/>
        <v>6.4257812499999997E-2</v>
      </c>
    </row>
    <row r="94" spans="2:10" ht="15" thickBot="1" x14ac:dyDescent="0.4">
      <c r="B94" s="57" t="s">
        <v>982</v>
      </c>
      <c r="C94" s="58" t="s">
        <v>983</v>
      </c>
      <c r="D94" s="58" t="s">
        <v>437</v>
      </c>
      <c r="E94" s="58" t="s">
        <v>984</v>
      </c>
      <c r="F94" s="73"/>
      <c r="G94" s="58" t="s">
        <v>112</v>
      </c>
      <c r="H94" s="58">
        <v>32</v>
      </c>
      <c r="I94" s="56" t="s">
        <v>119</v>
      </c>
      <c r="J94" s="76">
        <f t="shared" si="4"/>
        <v>0</v>
      </c>
    </row>
    <row r="95" spans="2:10" ht="15" thickBot="1" x14ac:dyDescent="0.4">
      <c r="B95" s="59" t="s">
        <v>982</v>
      </c>
      <c r="C95" s="56" t="s">
        <v>985</v>
      </c>
      <c r="D95" s="56" t="s">
        <v>986</v>
      </c>
      <c r="E95" s="56" t="s">
        <v>220</v>
      </c>
      <c r="F95" s="74">
        <v>60.04</v>
      </c>
      <c r="G95" s="56" t="s">
        <v>112</v>
      </c>
      <c r="H95" s="56">
        <v>480</v>
      </c>
      <c r="I95" s="56" t="s">
        <v>119</v>
      </c>
      <c r="J95" s="76">
        <f t="shared" si="4"/>
        <v>0.12508333333333332</v>
      </c>
    </row>
    <row r="96" spans="2:10" ht="15" thickBot="1" x14ac:dyDescent="0.4">
      <c r="B96" s="59" t="s">
        <v>982</v>
      </c>
      <c r="C96" s="56" t="s">
        <v>987</v>
      </c>
      <c r="D96" s="56" t="s">
        <v>437</v>
      </c>
      <c r="E96" s="56" t="s">
        <v>763</v>
      </c>
      <c r="F96" s="74">
        <v>1.48</v>
      </c>
      <c r="G96" s="56" t="s">
        <v>2</v>
      </c>
      <c r="H96" s="56">
        <v>16</v>
      </c>
      <c r="I96" s="56" t="s">
        <v>119</v>
      </c>
      <c r="J96" s="76">
        <f t="shared" si="4"/>
        <v>9.2499999999999999E-2</v>
      </c>
    </row>
    <row r="97" spans="2:10" ht="15" thickBot="1" x14ac:dyDescent="0.4">
      <c r="B97" s="59" t="s">
        <v>982</v>
      </c>
      <c r="C97" s="56" t="s">
        <v>988</v>
      </c>
      <c r="D97" s="56" t="s">
        <v>437</v>
      </c>
      <c r="E97" s="56" t="s">
        <v>989</v>
      </c>
      <c r="F97" s="74">
        <v>6.77</v>
      </c>
      <c r="G97" s="56" t="s">
        <v>112</v>
      </c>
      <c r="H97" s="56">
        <v>36</v>
      </c>
      <c r="I97" s="56" t="s">
        <v>119</v>
      </c>
      <c r="J97" s="76">
        <f t="shared" si="4"/>
        <v>0.18805555555555553</v>
      </c>
    </row>
    <row r="98" spans="2:10" ht="15" thickBot="1" x14ac:dyDescent="0.4">
      <c r="B98" s="59" t="s">
        <v>982</v>
      </c>
      <c r="C98" s="56" t="s">
        <v>990</v>
      </c>
      <c r="D98" s="56" t="s">
        <v>991</v>
      </c>
      <c r="E98" s="56" t="s">
        <v>992</v>
      </c>
      <c r="F98" s="74">
        <v>54.38</v>
      </c>
      <c r="G98" s="56" t="s">
        <v>112</v>
      </c>
      <c r="H98" s="56">
        <v>320</v>
      </c>
      <c r="I98" s="56" t="s">
        <v>119</v>
      </c>
      <c r="J98" s="76">
        <f t="shared" si="4"/>
        <v>0.16993750000000002</v>
      </c>
    </row>
    <row r="99" spans="2:10" ht="15" thickBot="1" x14ac:dyDescent="0.4">
      <c r="B99" s="62" t="s">
        <v>982</v>
      </c>
      <c r="C99" s="63" t="s">
        <v>993</v>
      </c>
      <c r="D99" s="63" t="s">
        <v>994</v>
      </c>
      <c r="E99" s="63" t="s">
        <v>763</v>
      </c>
      <c r="F99" s="78">
        <v>9.19</v>
      </c>
      <c r="G99" s="63" t="s">
        <v>112</v>
      </c>
      <c r="H99" s="63">
        <v>16</v>
      </c>
      <c r="I99" s="56" t="s">
        <v>119</v>
      </c>
      <c r="J99" s="76">
        <f t="shared" si="4"/>
        <v>0.57437499999999997</v>
      </c>
    </row>
    <row r="100" spans="2:10" ht="15" thickBot="1" x14ac:dyDescent="0.4">
      <c r="B100" s="57" t="s">
        <v>995</v>
      </c>
      <c r="C100" s="58" t="s">
        <v>996</v>
      </c>
      <c r="D100" s="58" t="s">
        <v>997</v>
      </c>
      <c r="E100" s="58" t="s">
        <v>280</v>
      </c>
      <c r="F100" s="73">
        <v>86.4</v>
      </c>
      <c r="G100" s="58" t="s">
        <v>112</v>
      </c>
      <c r="H100" s="58">
        <v>400</v>
      </c>
      <c r="I100" s="56" t="s">
        <v>119</v>
      </c>
      <c r="J100" s="76">
        <f t="shared" si="4"/>
        <v>0.21600000000000003</v>
      </c>
    </row>
    <row r="101" spans="2:10" ht="15" thickBot="1" x14ac:dyDescent="0.4">
      <c r="B101" s="59" t="s">
        <v>995</v>
      </c>
      <c r="C101" s="56" t="s">
        <v>998</v>
      </c>
      <c r="D101" s="56" t="s">
        <v>999</v>
      </c>
      <c r="E101" s="56" t="s">
        <v>280</v>
      </c>
      <c r="F101" s="74">
        <v>77.3</v>
      </c>
      <c r="G101" s="56" t="s">
        <v>112</v>
      </c>
      <c r="H101" s="56">
        <v>400</v>
      </c>
      <c r="I101" s="56" t="s">
        <v>119</v>
      </c>
      <c r="J101" s="76">
        <f t="shared" si="4"/>
        <v>0.19325000000000001</v>
      </c>
    </row>
    <row r="102" spans="2:10" ht="15" thickBot="1" x14ac:dyDescent="0.4">
      <c r="B102" s="59" t="s">
        <v>995</v>
      </c>
      <c r="C102" s="56" t="s">
        <v>1000</v>
      </c>
      <c r="D102" s="56" t="s">
        <v>1001</v>
      </c>
      <c r="E102" s="56" t="s">
        <v>894</v>
      </c>
      <c r="F102" s="74">
        <v>19.7</v>
      </c>
      <c r="G102" s="56" t="s">
        <v>112</v>
      </c>
      <c r="H102" s="56">
        <v>336</v>
      </c>
      <c r="I102" s="56" t="s">
        <v>119</v>
      </c>
      <c r="J102" s="76">
        <f t="shared" si="4"/>
        <v>5.8630952380952381E-2</v>
      </c>
    </row>
    <row r="103" spans="2:10" ht="15" thickBot="1" x14ac:dyDescent="0.4">
      <c r="B103" s="59" t="s">
        <v>995</v>
      </c>
      <c r="C103" s="56" t="s">
        <v>1002</v>
      </c>
      <c r="D103" s="56" t="s">
        <v>1001</v>
      </c>
      <c r="E103" s="56" t="s">
        <v>1003</v>
      </c>
      <c r="F103" s="74">
        <v>27.9</v>
      </c>
      <c r="G103" s="56" t="s">
        <v>112</v>
      </c>
      <c r="H103" s="56">
        <v>504</v>
      </c>
      <c r="I103" s="56" t="s">
        <v>119</v>
      </c>
      <c r="J103" s="76">
        <f t="shared" si="4"/>
        <v>5.5357142857142855E-2</v>
      </c>
    </row>
    <row r="104" spans="2:10" ht="15" thickBot="1" x14ac:dyDescent="0.4">
      <c r="B104" s="59" t="s">
        <v>995</v>
      </c>
      <c r="C104" s="56" t="s">
        <v>1004</v>
      </c>
      <c r="D104" s="56" t="s">
        <v>1005</v>
      </c>
      <c r="E104" s="56" t="s">
        <v>1006</v>
      </c>
      <c r="F104" s="74">
        <v>16.309999999999999</v>
      </c>
      <c r="G104" s="56" t="s">
        <v>112</v>
      </c>
      <c r="H104" s="56">
        <v>128</v>
      </c>
      <c r="I104" s="56" t="s">
        <v>119</v>
      </c>
      <c r="J104" s="76">
        <f t="shared" si="4"/>
        <v>0.12742187499999999</v>
      </c>
    </row>
    <row r="105" spans="2:10" ht="15" thickBot="1" x14ac:dyDescent="0.4">
      <c r="B105" s="59" t="s">
        <v>995</v>
      </c>
      <c r="C105" s="56" t="s">
        <v>1007</v>
      </c>
      <c r="D105" s="56" t="s">
        <v>1008</v>
      </c>
      <c r="E105" s="56" t="s">
        <v>1009</v>
      </c>
      <c r="F105" s="74">
        <v>171.93</v>
      </c>
      <c r="G105" s="56" t="s">
        <v>112</v>
      </c>
      <c r="H105" s="56">
        <v>882</v>
      </c>
      <c r="I105" s="56" t="s">
        <v>119</v>
      </c>
      <c r="J105" s="76">
        <f t="shared" si="4"/>
        <v>0.19493197278911564</v>
      </c>
    </row>
    <row r="106" spans="2:10" ht="15" thickBot="1" x14ac:dyDescent="0.4">
      <c r="B106" s="59" t="s">
        <v>995</v>
      </c>
      <c r="C106" s="56" t="s">
        <v>1010</v>
      </c>
      <c r="D106" s="56" t="s">
        <v>1011</v>
      </c>
      <c r="E106" s="56" t="s">
        <v>842</v>
      </c>
      <c r="F106" s="74">
        <v>48.9</v>
      </c>
      <c r="G106" s="56" t="s">
        <v>112</v>
      </c>
      <c r="H106" s="56">
        <v>352</v>
      </c>
      <c r="I106" s="56" t="s">
        <v>119</v>
      </c>
      <c r="J106" s="76">
        <f t="shared" si="4"/>
        <v>0.13892045454545454</v>
      </c>
    </row>
    <row r="107" spans="2:10" ht="15" thickBot="1" x14ac:dyDescent="0.4">
      <c r="B107" s="59" t="s">
        <v>995</v>
      </c>
      <c r="C107" s="56" t="s">
        <v>1012</v>
      </c>
      <c r="D107" s="56" t="s">
        <v>1013</v>
      </c>
      <c r="E107" s="56" t="s">
        <v>197</v>
      </c>
      <c r="F107" s="74">
        <v>36.200000000000003</v>
      </c>
      <c r="G107" s="56" t="s">
        <v>112</v>
      </c>
      <c r="H107" s="56">
        <v>160</v>
      </c>
      <c r="I107" s="56" t="s">
        <v>119</v>
      </c>
      <c r="J107" s="76">
        <f t="shared" si="4"/>
        <v>0.22625000000000001</v>
      </c>
    </row>
    <row r="108" spans="2:10" ht="15" thickBot="1" x14ac:dyDescent="0.4">
      <c r="B108" s="59" t="s">
        <v>995</v>
      </c>
      <c r="C108" s="56" t="s">
        <v>1014</v>
      </c>
      <c r="D108" s="56" t="s">
        <v>437</v>
      </c>
      <c r="E108" s="56" t="s">
        <v>220</v>
      </c>
      <c r="F108" s="74">
        <v>140</v>
      </c>
      <c r="G108" s="56" t="s">
        <v>112</v>
      </c>
      <c r="H108" s="56">
        <v>480</v>
      </c>
      <c r="I108" s="56" t="s">
        <v>119</v>
      </c>
      <c r="J108" s="76">
        <f t="shared" si="4"/>
        <v>0.29166666666666669</v>
      </c>
    </row>
    <row r="109" spans="2:10" ht="15" thickBot="1" x14ac:dyDescent="0.4">
      <c r="B109" s="59" t="s">
        <v>995</v>
      </c>
      <c r="C109" s="56" t="s">
        <v>1015</v>
      </c>
      <c r="D109" s="56" t="s">
        <v>1016</v>
      </c>
      <c r="E109" s="56" t="s">
        <v>197</v>
      </c>
      <c r="F109" s="74">
        <v>19.850000000000001</v>
      </c>
      <c r="G109" s="56" t="s">
        <v>112</v>
      </c>
      <c r="H109" s="56">
        <v>160</v>
      </c>
      <c r="I109" s="56" t="s">
        <v>119</v>
      </c>
      <c r="J109" s="76">
        <f t="shared" si="4"/>
        <v>0.12406250000000001</v>
      </c>
    </row>
    <row r="110" spans="2:10" ht="15" thickBot="1" x14ac:dyDescent="0.4">
      <c r="B110" s="59" t="s">
        <v>995</v>
      </c>
      <c r="C110" s="56" t="s">
        <v>1017</v>
      </c>
      <c r="D110" s="56" t="s">
        <v>957</v>
      </c>
      <c r="E110" s="56" t="s">
        <v>970</v>
      </c>
      <c r="F110" s="74">
        <v>59.02</v>
      </c>
      <c r="G110" s="56" t="s">
        <v>112</v>
      </c>
      <c r="H110" s="56">
        <v>352</v>
      </c>
      <c r="I110" s="56" t="s">
        <v>119</v>
      </c>
      <c r="J110" s="76">
        <f t="shared" si="4"/>
        <v>0.16767045454545457</v>
      </c>
    </row>
    <row r="111" spans="2:10" ht="15" thickBot="1" x14ac:dyDescent="0.4">
      <c r="B111" s="59" t="s">
        <v>995</v>
      </c>
      <c r="C111" s="56" t="s">
        <v>1018</v>
      </c>
      <c r="D111" s="56" t="s">
        <v>957</v>
      </c>
      <c r="E111" s="56" t="s">
        <v>970</v>
      </c>
      <c r="F111" s="74">
        <v>55.6</v>
      </c>
      <c r="G111" s="56" t="s">
        <v>112</v>
      </c>
      <c r="H111" s="56">
        <v>352</v>
      </c>
      <c r="I111" s="56" t="s">
        <v>119</v>
      </c>
      <c r="J111" s="76">
        <f t="shared" si="4"/>
        <v>0.15795454545454546</v>
      </c>
    </row>
    <row r="112" spans="2:10" ht="15" thickBot="1" x14ac:dyDescent="0.4">
      <c r="B112" s="59" t="s">
        <v>995</v>
      </c>
      <c r="C112" s="56" t="s">
        <v>1019</v>
      </c>
      <c r="D112" s="56" t="s">
        <v>1020</v>
      </c>
      <c r="E112" s="56" t="s">
        <v>212</v>
      </c>
      <c r="F112" s="74">
        <v>21.1</v>
      </c>
      <c r="G112" s="56" t="s">
        <v>112</v>
      </c>
      <c r="H112" s="56">
        <v>192</v>
      </c>
      <c r="I112" s="56" t="s">
        <v>119</v>
      </c>
      <c r="J112" s="76">
        <f t="shared" si="4"/>
        <v>0.10989583333333335</v>
      </c>
    </row>
    <row r="113" spans="2:10" ht="15" thickBot="1" x14ac:dyDescent="0.4">
      <c r="B113" s="59" t="s">
        <v>995</v>
      </c>
      <c r="C113" s="56" t="s">
        <v>1021</v>
      </c>
      <c r="D113" s="56" t="s">
        <v>437</v>
      </c>
      <c r="E113" s="56" t="s">
        <v>471</v>
      </c>
      <c r="F113" s="74">
        <v>57.8</v>
      </c>
      <c r="G113" s="56" t="s">
        <v>112</v>
      </c>
      <c r="H113" s="56">
        <v>576</v>
      </c>
      <c r="I113" s="56" t="s">
        <v>119</v>
      </c>
      <c r="J113" s="76">
        <f t="shared" si="4"/>
        <v>0.10034722222222221</v>
      </c>
    </row>
    <row r="114" spans="2:10" ht="15" thickBot="1" x14ac:dyDescent="0.4">
      <c r="B114" s="59" t="s">
        <v>995</v>
      </c>
      <c r="C114" s="56" t="s">
        <v>1022</v>
      </c>
      <c r="D114" s="56" t="s">
        <v>437</v>
      </c>
      <c r="E114" s="56" t="s">
        <v>220</v>
      </c>
      <c r="F114" s="74">
        <v>60.4</v>
      </c>
      <c r="G114" s="56" t="s">
        <v>112</v>
      </c>
      <c r="H114" s="56">
        <v>480</v>
      </c>
      <c r="I114" s="56" t="s">
        <v>119</v>
      </c>
      <c r="J114" s="76">
        <f t="shared" si="4"/>
        <v>0.12583333333333332</v>
      </c>
    </row>
    <row r="115" spans="2:10" ht="15" thickBot="1" x14ac:dyDescent="0.4">
      <c r="B115" s="59" t="s">
        <v>995</v>
      </c>
      <c r="C115" s="56" t="s">
        <v>1023</v>
      </c>
      <c r="D115" s="56" t="s">
        <v>437</v>
      </c>
      <c r="E115" s="56" t="s">
        <v>220</v>
      </c>
      <c r="F115" s="74">
        <v>55.9</v>
      </c>
      <c r="G115" s="56" t="s">
        <v>112</v>
      </c>
      <c r="H115" s="56">
        <v>480</v>
      </c>
      <c r="I115" s="56" t="s">
        <v>119</v>
      </c>
      <c r="J115" s="76">
        <f t="shared" si="4"/>
        <v>0.11645833333333333</v>
      </c>
    </row>
    <row r="116" spans="2:10" ht="15" thickBot="1" x14ac:dyDescent="0.4">
      <c r="B116" s="59" t="s">
        <v>995</v>
      </c>
      <c r="C116" s="56" t="s">
        <v>1024</v>
      </c>
      <c r="D116" s="56" t="s">
        <v>437</v>
      </c>
      <c r="E116" s="56" t="s">
        <v>220</v>
      </c>
      <c r="F116" s="74">
        <v>51.7</v>
      </c>
      <c r="G116" s="56" t="s">
        <v>112</v>
      </c>
      <c r="H116" s="56">
        <v>480</v>
      </c>
      <c r="I116" s="56" t="s">
        <v>119</v>
      </c>
      <c r="J116" s="76">
        <f t="shared" si="4"/>
        <v>0.10770833333333334</v>
      </c>
    </row>
    <row r="117" spans="2:10" ht="15" thickBot="1" x14ac:dyDescent="0.4">
      <c r="B117" s="59" t="s">
        <v>995</v>
      </c>
      <c r="C117" s="56" t="s">
        <v>1025</v>
      </c>
      <c r="D117" s="56" t="s">
        <v>1026</v>
      </c>
      <c r="E117" s="56" t="s">
        <v>1027</v>
      </c>
      <c r="F117" s="74">
        <v>51.09</v>
      </c>
      <c r="G117" s="56" t="s">
        <v>112</v>
      </c>
      <c r="H117" s="56">
        <v>384</v>
      </c>
      <c r="I117" s="56" t="s">
        <v>119</v>
      </c>
      <c r="J117" s="76">
        <f t="shared" si="4"/>
        <v>0.13304687500000001</v>
      </c>
    </row>
    <row r="118" spans="2:10" ht="15" thickBot="1" x14ac:dyDescent="0.4">
      <c r="B118" s="59" t="s">
        <v>995</v>
      </c>
      <c r="C118" s="56" t="s">
        <v>1028</v>
      </c>
      <c r="D118" s="56" t="s">
        <v>1029</v>
      </c>
      <c r="E118" s="56" t="s">
        <v>1027</v>
      </c>
      <c r="F118" s="74">
        <v>67.7</v>
      </c>
      <c r="G118" s="56" t="s">
        <v>112</v>
      </c>
      <c r="H118" s="56">
        <v>384</v>
      </c>
      <c r="I118" s="56" t="s">
        <v>119</v>
      </c>
      <c r="J118" s="76">
        <f t="shared" si="4"/>
        <v>0.17630208333333333</v>
      </c>
    </row>
    <row r="119" spans="2:10" ht="15" thickBot="1" x14ac:dyDescent="0.4">
      <c r="B119" s="62" t="s">
        <v>995</v>
      </c>
      <c r="C119" s="63" t="s">
        <v>1030</v>
      </c>
      <c r="D119" s="63" t="s">
        <v>1031</v>
      </c>
      <c r="E119" s="63" t="s">
        <v>200</v>
      </c>
      <c r="F119" s="78">
        <v>29.4</v>
      </c>
      <c r="G119" s="63" t="s">
        <v>112</v>
      </c>
      <c r="H119" s="63">
        <v>160</v>
      </c>
      <c r="I119" s="56" t="s">
        <v>119</v>
      </c>
      <c r="J119" s="76">
        <f t="shared" si="4"/>
        <v>0.18375</v>
      </c>
    </row>
    <row r="120" spans="2:10" ht="15" thickBot="1" x14ac:dyDescent="0.4">
      <c r="B120" s="57" t="s">
        <v>1032</v>
      </c>
      <c r="C120" s="58" t="s">
        <v>1033</v>
      </c>
      <c r="D120" s="58" t="s">
        <v>1029</v>
      </c>
      <c r="E120" s="58" t="s">
        <v>751</v>
      </c>
      <c r="F120" s="73">
        <v>43</v>
      </c>
      <c r="G120" s="58" t="s">
        <v>112</v>
      </c>
      <c r="H120" s="58">
        <v>80</v>
      </c>
      <c r="I120" s="56" t="s">
        <v>119</v>
      </c>
      <c r="J120" s="76">
        <f t="shared" si="4"/>
        <v>0.53749999999999998</v>
      </c>
    </row>
    <row r="121" spans="2:10" ht="15" thickBot="1" x14ac:dyDescent="0.4">
      <c r="B121" s="59" t="s">
        <v>1032</v>
      </c>
      <c r="C121" s="56" t="s">
        <v>1034</v>
      </c>
      <c r="D121" s="56" t="s">
        <v>1029</v>
      </c>
      <c r="E121" s="56" t="s">
        <v>751</v>
      </c>
      <c r="F121" s="74">
        <v>36.200000000000003</v>
      </c>
      <c r="G121" s="56" t="s">
        <v>112</v>
      </c>
      <c r="H121" s="56">
        <v>80</v>
      </c>
      <c r="I121" s="56" t="s">
        <v>119</v>
      </c>
      <c r="J121" s="76">
        <f t="shared" si="4"/>
        <v>0.45250000000000001</v>
      </c>
    </row>
    <row r="122" spans="2:10" ht="15" thickBot="1" x14ac:dyDescent="0.4">
      <c r="B122" s="59" t="s">
        <v>1032</v>
      </c>
      <c r="C122" s="56" t="s">
        <v>1035</v>
      </c>
      <c r="D122" s="56" t="s">
        <v>1036</v>
      </c>
      <c r="E122" s="56" t="s">
        <v>751</v>
      </c>
      <c r="F122" s="74">
        <v>53.5</v>
      </c>
      <c r="G122" s="56" t="s">
        <v>112</v>
      </c>
      <c r="H122" s="56">
        <v>80</v>
      </c>
      <c r="I122" s="56" t="s">
        <v>119</v>
      </c>
      <c r="J122" s="76">
        <f t="shared" si="4"/>
        <v>0.66874999999999996</v>
      </c>
    </row>
    <row r="123" spans="2:10" ht="15" thickBot="1" x14ac:dyDescent="0.4">
      <c r="B123" s="59" t="s">
        <v>1032</v>
      </c>
      <c r="C123" s="56" t="s">
        <v>1037</v>
      </c>
      <c r="D123" s="56" t="s">
        <v>1038</v>
      </c>
      <c r="E123" s="56" t="s">
        <v>1039</v>
      </c>
      <c r="F123" s="74">
        <v>17</v>
      </c>
      <c r="G123" s="56" t="s">
        <v>112</v>
      </c>
      <c r="H123" s="56">
        <v>96</v>
      </c>
      <c r="I123" s="56" t="s">
        <v>119</v>
      </c>
      <c r="J123" s="76">
        <f t="shared" si="4"/>
        <v>0.17708333333333334</v>
      </c>
    </row>
    <row r="124" spans="2:10" ht="15" thickBot="1" x14ac:dyDescent="0.4">
      <c r="B124" s="59" t="s">
        <v>1032</v>
      </c>
      <c r="C124" s="56" t="s">
        <v>1040</v>
      </c>
      <c r="D124" s="56" t="s">
        <v>437</v>
      </c>
      <c r="E124" s="56" t="s">
        <v>751</v>
      </c>
      <c r="F124" s="74">
        <v>45.8</v>
      </c>
      <c r="G124" s="56" t="s">
        <v>112</v>
      </c>
      <c r="H124" s="56">
        <v>80</v>
      </c>
      <c r="I124" s="56" t="s">
        <v>119</v>
      </c>
      <c r="J124" s="76">
        <f t="shared" si="4"/>
        <v>0.57250000000000001</v>
      </c>
    </row>
    <row r="125" spans="2:10" ht="15" thickBot="1" x14ac:dyDescent="0.4">
      <c r="B125" s="59" t="s">
        <v>1032</v>
      </c>
      <c r="C125" s="56" t="s">
        <v>1041</v>
      </c>
      <c r="D125" s="56" t="s">
        <v>437</v>
      </c>
      <c r="E125" s="56" t="s">
        <v>751</v>
      </c>
      <c r="F125" s="74">
        <v>85</v>
      </c>
      <c r="G125" s="56" t="s">
        <v>112</v>
      </c>
      <c r="H125" s="56">
        <v>80</v>
      </c>
      <c r="I125" s="56" t="s">
        <v>119</v>
      </c>
      <c r="J125" s="76">
        <f t="shared" si="4"/>
        <v>1.0625</v>
      </c>
    </row>
    <row r="126" spans="2:10" ht="15" thickBot="1" x14ac:dyDescent="0.4">
      <c r="B126" s="62" t="s">
        <v>1032</v>
      </c>
      <c r="C126" s="63" t="s">
        <v>1042</v>
      </c>
      <c r="D126" s="63" t="s">
        <v>557</v>
      </c>
      <c r="E126" s="63" t="s">
        <v>280</v>
      </c>
      <c r="F126" s="78">
        <v>78.8</v>
      </c>
      <c r="G126" s="63" t="s">
        <v>112</v>
      </c>
      <c r="H126" s="63">
        <v>400</v>
      </c>
      <c r="I126" s="56" t="s">
        <v>119</v>
      </c>
      <c r="J126" s="76">
        <f t="shared" si="4"/>
        <v>0.19699999999999998</v>
      </c>
    </row>
    <row r="127" spans="2:10" ht="15" thickBot="1" x14ac:dyDescent="0.4">
      <c r="B127" s="57" t="s">
        <v>1043</v>
      </c>
      <c r="C127" s="58" t="s">
        <v>48</v>
      </c>
      <c r="D127" s="58" t="s">
        <v>182</v>
      </c>
      <c r="E127" s="58" t="s">
        <v>261</v>
      </c>
      <c r="F127" s="73">
        <v>45.9</v>
      </c>
      <c r="G127" s="58" t="s">
        <v>112</v>
      </c>
      <c r="H127" s="58">
        <v>512</v>
      </c>
      <c r="I127" s="56" t="s">
        <v>119</v>
      </c>
      <c r="J127" s="76">
        <f t="shared" si="4"/>
        <v>8.9648437499999997E-2</v>
      </c>
    </row>
    <row r="128" spans="2:10" ht="15" thickBot="1" x14ac:dyDescent="0.4">
      <c r="B128" s="59" t="s">
        <v>1043</v>
      </c>
      <c r="C128" s="56" t="s">
        <v>1044</v>
      </c>
      <c r="D128" s="56" t="s">
        <v>182</v>
      </c>
      <c r="E128" s="56" t="s">
        <v>1045</v>
      </c>
      <c r="F128" s="74">
        <v>90.8</v>
      </c>
      <c r="G128" s="56" t="s">
        <v>112</v>
      </c>
      <c r="H128" s="56">
        <v>406</v>
      </c>
      <c r="I128" s="56" t="s">
        <v>119</v>
      </c>
      <c r="J128" s="76">
        <f t="shared" si="4"/>
        <v>0.22364532019704433</v>
      </c>
    </row>
    <row r="129" spans="2:10" ht="15" thickBot="1" x14ac:dyDescent="0.4">
      <c r="B129" s="59" t="s">
        <v>1043</v>
      </c>
      <c r="C129" s="56" t="s">
        <v>1046</v>
      </c>
      <c r="D129" s="56" t="s">
        <v>437</v>
      </c>
      <c r="E129" s="56" t="s">
        <v>821</v>
      </c>
      <c r="F129" s="74">
        <v>14.5</v>
      </c>
      <c r="G129" s="56" t="s">
        <v>112</v>
      </c>
      <c r="H129" s="56">
        <v>84</v>
      </c>
      <c r="I129" s="56" t="s">
        <v>119</v>
      </c>
      <c r="J129" s="76">
        <f t="shared" si="4"/>
        <v>0.17261904761904762</v>
      </c>
    </row>
    <row r="130" spans="2:10" ht="15" thickBot="1" x14ac:dyDescent="0.4">
      <c r="B130" s="59" t="s">
        <v>1043</v>
      </c>
      <c r="C130" s="56" t="s">
        <v>1047</v>
      </c>
      <c r="D130" s="56" t="s">
        <v>1048</v>
      </c>
      <c r="E130" s="56" t="s">
        <v>261</v>
      </c>
      <c r="F130" s="74">
        <v>38.700000000000003</v>
      </c>
      <c r="G130" s="56" t="s">
        <v>112</v>
      </c>
      <c r="H130" s="56">
        <v>512</v>
      </c>
      <c r="I130" s="56" t="s">
        <v>119</v>
      </c>
      <c r="J130" s="76">
        <f t="shared" si="4"/>
        <v>7.5585937500000006E-2</v>
      </c>
    </row>
    <row r="131" spans="2:10" ht="15" thickBot="1" x14ac:dyDescent="0.4">
      <c r="B131" s="59" t="s">
        <v>1043</v>
      </c>
      <c r="C131" s="56" t="s">
        <v>1049</v>
      </c>
      <c r="D131" s="56" t="s">
        <v>126</v>
      </c>
      <c r="E131" s="56" t="s">
        <v>1050</v>
      </c>
      <c r="F131" s="74">
        <v>30.9</v>
      </c>
      <c r="G131" s="56" t="s">
        <v>112</v>
      </c>
      <c r="H131" s="56">
        <v>768</v>
      </c>
      <c r="I131" s="56" t="s">
        <v>119</v>
      </c>
      <c r="J131" s="76">
        <f t="shared" si="4"/>
        <v>4.0234374999999996E-2</v>
      </c>
    </row>
    <row r="132" spans="2:10" ht="15" thickBot="1" x14ac:dyDescent="0.4">
      <c r="B132" s="62" t="s">
        <v>1043</v>
      </c>
      <c r="C132" s="63" t="s">
        <v>1051</v>
      </c>
      <c r="D132" s="63" t="s">
        <v>376</v>
      </c>
      <c r="E132" s="63" t="s">
        <v>1052</v>
      </c>
      <c r="F132" s="78">
        <v>26.6</v>
      </c>
      <c r="G132" s="63" t="s">
        <v>112</v>
      </c>
      <c r="H132" s="63">
        <v>560</v>
      </c>
      <c r="I132" s="56" t="s">
        <v>119</v>
      </c>
      <c r="J132" s="76">
        <f t="shared" si="4"/>
        <v>4.7500000000000001E-2</v>
      </c>
    </row>
    <row r="133" spans="2:10" ht="15" thickBot="1" x14ac:dyDescent="0.4">
      <c r="B133" s="57" t="s">
        <v>1053</v>
      </c>
      <c r="C133" s="58" t="s">
        <v>1054</v>
      </c>
      <c r="D133" s="58" t="s">
        <v>182</v>
      </c>
      <c r="E133" s="58" t="s">
        <v>236</v>
      </c>
      <c r="F133" s="73">
        <v>15.1</v>
      </c>
      <c r="G133" s="58" t="s">
        <v>112</v>
      </c>
      <c r="H133" s="58">
        <v>160</v>
      </c>
      <c r="I133" s="56" t="s">
        <v>119</v>
      </c>
      <c r="J133" s="76">
        <f t="shared" si="4"/>
        <v>9.4375000000000001E-2</v>
      </c>
    </row>
    <row r="134" spans="2:10" ht="15" thickBot="1" x14ac:dyDescent="0.4">
      <c r="B134" s="59" t="s">
        <v>1053</v>
      </c>
      <c r="C134" s="56" t="s">
        <v>1055</v>
      </c>
      <c r="D134" s="56" t="s">
        <v>1056</v>
      </c>
      <c r="E134" s="56" t="s">
        <v>1057</v>
      </c>
      <c r="F134" s="74">
        <v>37.799999999999997</v>
      </c>
      <c r="G134" s="56" t="s">
        <v>112</v>
      </c>
      <c r="H134" s="56">
        <v>420</v>
      </c>
      <c r="I134" s="56" t="s">
        <v>119</v>
      </c>
      <c r="J134" s="76">
        <f t="shared" si="4"/>
        <v>0.09</v>
      </c>
    </row>
    <row r="135" spans="2:10" ht="15" thickBot="1" x14ac:dyDescent="0.4">
      <c r="B135" s="59" t="s">
        <v>1053</v>
      </c>
      <c r="C135" s="56" t="s">
        <v>1058</v>
      </c>
      <c r="D135" s="56" t="s">
        <v>182</v>
      </c>
      <c r="E135" s="56" t="s">
        <v>236</v>
      </c>
      <c r="F135" s="74">
        <v>8.34</v>
      </c>
      <c r="G135" s="56" t="s">
        <v>112</v>
      </c>
      <c r="H135" s="56">
        <v>160</v>
      </c>
      <c r="I135" s="56" t="s">
        <v>119</v>
      </c>
      <c r="J135" s="76">
        <f t="shared" si="4"/>
        <v>5.2124999999999998E-2</v>
      </c>
    </row>
    <row r="136" spans="2:10" ht="15" thickBot="1" x14ac:dyDescent="0.4">
      <c r="B136" s="59" t="s">
        <v>1053</v>
      </c>
      <c r="C136" s="56" t="s">
        <v>1059</v>
      </c>
      <c r="D136" s="56" t="s">
        <v>893</v>
      </c>
      <c r="E136" s="56" t="s">
        <v>1060</v>
      </c>
      <c r="F136" s="74">
        <v>19.399999999999999</v>
      </c>
      <c r="G136" s="56" t="s">
        <v>112</v>
      </c>
      <c r="H136" s="56">
        <v>128</v>
      </c>
      <c r="I136" s="56" t="s">
        <v>119</v>
      </c>
      <c r="J136" s="76">
        <f t="shared" si="4"/>
        <v>0.15156249999999999</v>
      </c>
    </row>
    <row r="137" spans="2:10" ht="15" thickBot="1" x14ac:dyDescent="0.4">
      <c r="B137" s="59" t="s">
        <v>1053</v>
      </c>
      <c r="C137" s="56" t="s">
        <v>1061</v>
      </c>
      <c r="D137" s="56" t="s">
        <v>893</v>
      </c>
      <c r="E137" s="56" t="s">
        <v>197</v>
      </c>
      <c r="F137" s="74">
        <v>28.31</v>
      </c>
      <c r="G137" s="56" t="s">
        <v>112</v>
      </c>
      <c r="H137" s="56">
        <v>160</v>
      </c>
      <c r="I137" s="56" t="s">
        <v>119</v>
      </c>
      <c r="J137" s="76">
        <f t="shared" si="4"/>
        <v>0.1769375</v>
      </c>
    </row>
    <row r="138" spans="2:10" ht="15" thickBot="1" x14ac:dyDescent="0.4">
      <c r="B138" s="59" t="s">
        <v>1053</v>
      </c>
      <c r="C138" s="56" t="s">
        <v>1062</v>
      </c>
      <c r="D138" s="56" t="s">
        <v>182</v>
      </c>
      <c r="E138" s="56" t="s">
        <v>236</v>
      </c>
      <c r="F138" s="74">
        <v>8.84</v>
      </c>
      <c r="G138" s="56" t="s">
        <v>112</v>
      </c>
      <c r="H138" s="56">
        <v>160</v>
      </c>
      <c r="I138" s="56" t="s">
        <v>119</v>
      </c>
      <c r="J138" s="76">
        <f t="shared" si="4"/>
        <v>5.525E-2</v>
      </c>
    </row>
    <row r="139" spans="2:10" ht="15" thickBot="1" x14ac:dyDescent="0.4">
      <c r="B139" s="59" t="s">
        <v>1053</v>
      </c>
      <c r="C139" s="56" t="s">
        <v>1063</v>
      </c>
      <c r="D139" s="56" t="s">
        <v>376</v>
      </c>
      <c r="E139" s="56" t="s">
        <v>829</v>
      </c>
      <c r="F139" s="74">
        <v>13.4</v>
      </c>
      <c r="G139" s="56" t="s">
        <v>112</v>
      </c>
      <c r="H139" s="56">
        <v>320</v>
      </c>
      <c r="I139" s="56" t="s">
        <v>119</v>
      </c>
      <c r="J139" s="76">
        <f t="shared" si="4"/>
        <v>4.1875000000000002E-2</v>
      </c>
    </row>
    <row r="140" spans="2:10" ht="15" thickBot="1" x14ac:dyDescent="0.4">
      <c r="B140" s="59" t="s">
        <v>1053</v>
      </c>
      <c r="C140" s="56" t="s">
        <v>1064</v>
      </c>
      <c r="D140" s="56" t="s">
        <v>1065</v>
      </c>
      <c r="E140" s="56" t="s">
        <v>197</v>
      </c>
      <c r="F140" s="74">
        <v>18</v>
      </c>
      <c r="G140" s="56" t="s">
        <v>112</v>
      </c>
      <c r="H140" s="56">
        <v>160</v>
      </c>
      <c r="I140" s="56" t="s">
        <v>119</v>
      </c>
      <c r="J140" s="76">
        <f t="shared" si="4"/>
        <v>0.1125</v>
      </c>
    </row>
    <row r="141" spans="2:10" ht="15" thickBot="1" x14ac:dyDescent="0.4">
      <c r="B141" s="59" t="s">
        <v>1053</v>
      </c>
      <c r="C141" s="56" t="s">
        <v>1066</v>
      </c>
      <c r="D141" s="56" t="s">
        <v>182</v>
      </c>
      <c r="E141" s="56" t="s">
        <v>197</v>
      </c>
      <c r="F141" s="74">
        <v>18.399999999999999</v>
      </c>
      <c r="G141" s="56" t="s">
        <v>112</v>
      </c>
      <c r="H141" s="56">
        <v>160</v>
      </c>
      <c r="I141" s="56" t="s">
        <v>119</v>
      </c>
      <c r="J141" s="76">
        <f t="shared" si="4"/>
        <v>0.11499999999999999</v>
      </c>
    </row>
    <row r="142" spans="2:10" ht="15" thickBot="1" x14ac:dyDescent="0.4">
      <c r="B142" s="59" t="s">
        <v>1053</v>
      </c>
      <c r="C142" s="56" t="s">
        <v>1067</v>
      </c>
      <c r="D142" s="56" t="s">
        <v>376</v>
      </c>
      <c r="E142" s="56" t="s">
        <v>829</v>
      </c>
      <c r="F142" s="74">
        <v>13.8</v>
      </c>
      <c r="G142" s="56" t="s">
        <v>112</v>
      </c>
      <c r="H142" s="56">
        <v>320</v>
      </c>
      <c r="I142" s="56" t="s">
        <v>119</v>
      </c>
      <c r="J142" s="76">
        <f t="shared" si="4"/>
        <v>4.3125000000000004E-2</v>
      </c>
    </row>
    <row r="143" spans="2:10" ht="15" thickBot="1" x14ac:dyDescent="0.4">
      <c r="B143" s="59" t="s">
        <v>1053</v>
      </c>
      <c r="C143" s="56" t="s">
        <v>1068</v>
      </c>
      <c r="D143" s="56" t="s">
        <v>182</v>
      </c>
      <c r="E143" s="56" t="s">
        <v>236</v>
      </c>
      <c r="F143" s="74">
        <v>9.67</v>
      </c>
      <c r="G143" s="56" t="s">
        <v>112</v>
      </c>
      <c r="H143" s="56">
        <v>160</v>
      </c>
      <c r="I143" s="56" t="s">
        <v>119</v>
      </c>
      <c r="J143" s="76">
        <f t="shared" si="4"/>
        <v>6.0437499999999998E-2</v>
      </c>
    </row>
    <row r="144" spans="2:10" ht="15" thickBot="1" x14ac:dyDescent="0.4">
      <c r="B144" s="59" t="s">
        <v>1053</v>
      </c>
      <c r="C144" s="56" t="s">
        <v>1069</v>
      </c>
      <c r="D144" s="56" t="s">
        <v>437</v>
      </c>
      <c r="E144" s="56" t="s">
        <v>212</v>
      </c>
      <c r="F144" s="74">
        <v>28.8</v>
      </c>
      <c r="G144" s="56" t="s">
        <v>112</v>
      </c>
      <c r="H144" s="56">
        <v>192</v>
      </c>
      <c r="I144" s="56" t="s">
        <v>119</v>
      </c>
      <c r="J144" s="76">
        <f t="shared" si="4"/>
        <v>0.15</v>
      </c>
    </row>
    <row r="145" spans="2:10" ht="15" thickBot="1" x14ac:dyDescent="0.4">
      <c r="B145" s="59" t="s">
        <v>1053</v>
      </c>
      <c r="C145" s="56" t="s">
        <v>1070</v>
      </c>
      <c r="D145" s="56" t="s">
        <v>182</v>
      </c>
      <c r="E145" s="56" t="s">
        <v>829</v>
      </c>
      <c r="F145" s="74">
        <v>18.2</v>
      </c>
      <c r="G145" s="56" t="s">
        <v>112</v>
      </c>
      <c r="H145" s="56">
        <v>320</v>
      </c>
      <c r="I145" s="56" t="s">
        <v>119</v>
      </c>
      <c r="J145" s="76">
        <f t="shared" si="4"/>
        <v>5.6874999999999995E-2</v>
      </c>
    </row>
    <row r="146" spans="2:10" ht="15" thickBot="1" x14ac:dyDescent="0.4">
      <c r="B146" s="59" t="s">
        <v>1053</v>
      </c>
      <c r="C146" s="56" t="s">
        <v>1071</v>
      </c>
      <c r="D146" s="56" t="s">
        <v>182</v>
      </c>
      <c r="E146" s="56" t="s">
        <v>236</v>
      </c>
      <c r="F146" s="74">
        <v>13</v>
      </c>
      <c r="G146" s="56" t="s">
        <v>112</v>
      </c>
      <c r="H146" s="56">
        <v>160</v>
      </c>
      <c r="I146" s="56" t="s">
        <v>119</v>
      </c>
      <c r="J146" s="76">
        <f t="shared" si="4"/>
        <v>8.1250000000000003E-2</v>
      </c>
    </row>
    <row r="147" spans="2:10" ht="15" thickBot="1" x14ac:dyDescent="0.4">
      <c r="B147" s="59" t="s">
        <v>1053</v>
      </c>
      <c r="C147" s="56" t="s">
        <v>1072</v>
      </c>
      <c r="D147" s="56" t="s">
        <v>376</v>
      </c>
      <c r="E147" s="56" t="s">
        <v>829</v>
      </c>
      <c r="F147" s="74">
        <v>17.7</v>
      </c>
      <c r="G147" s="56" t="s">
        <v>112</v>
      </c>
      <c r="H147" s="56">
        <v>320</v>
      </c>
      <c r="I147" s="56" t="s">
        <v>119</v>
      </c>
      <c r="J147" s="76">
        <f t="shared" si="4"/>
        <v>5.5312500000000001E-2</v>
      </c>
    </row>
    <row r="148" spans="2:10" ht="15" thickBot="1" x14ac:dyDescent="0.4">
      <c r="B148" s="59" t="s">
        <v>1053</v>
      </c>
      <c r="C148" s="56" t="s">
        <v>1073</v>
      </c>
      <c r="D148" s="56" t="s">
        <v>182</v>
      </c>
      <c r="E148" s="56" t="s">
        <v>829</v>
      </c>
      <c r="F148" s="74">
        <v>17.5</v>
      </c>
      <c r="G148" s="56" t="s">
        <v>112</v>
      </c>
      <c r="H148" s="56">
        <v>320</v>
      </c>
      <c r="I148" s="56" t="s">
        <v>119</v>
      </c>
      <c r="J148" s="76">
        <f t="shared" si="4"/>
        <v>5.46875E-2</v>
      </c>
    </row>
    <row r="149" spans="2:10" ht="15" thickBot="1" x14ac:dyDescent="0.4">
      <c r="B149" s="59" t="s">
        <v>1053</v>
      </c>
      <c r="C149" s="56" t="s">
        <v>1074</v>
      </c>
      <c r="D149" s="56" t="s">
        <v>182</v>
      </c>
      <c r="E149" s="56" t="s">
        <v>829</v>
      </c>
      <c r="F149" s="74">
        <v>14.5</v>
      </c>
      <c r="G149" s="56" t="s">
        <v>112</v>
      </c>
      <c r="H149" s="56">
        <v>320</v>
      </c>
      <c r="I149" s="56" t="s">
        <v>119</v>
      </c>
      <c r="J149" s="76">
        <f t="shared" si="4"/>
        <v>4.5312499999999999E-2</v>
      </c>
    </row>
    <row r="150" spans="2:10" ht="15" thickBot="1" x14ac:dyDescent="0.4">
      <c r="B150" s="59" t="s">
        <v>1053</v>
      </c>
      <c r="C150" s="56" t="s">
        <v>1075</v>
      </c>
      <c r="D150" s="56" t="s">
        <v>182</v>
      </c>
      <c r="E150" s="56" t="s">
        <v>236</v>
      </c>
      <c r="F150" s="74">
        <v>13.2</v>
      </c>
      <c r="G150" s="56" t="s">
        <v>112</v>
      </c>
      <c r="H150" s="56">
        <v>160</v>
      </c>
      <c r="I150" s="56" t="s">
        <v>119</v>
      </c>
      <c r="J150" s="76">
        <f t="shared" si="4"/>
        <v>8.249999999999999E-2</v>
      </c>
    </row>
    <row r="151" spans="2:10" ht="15" thickBot="1" x14ac:dyDescent="0.4">
      <c r="B151" s="59" t="s">
        <v>1053</v>
      </c>
      <c r="C151" s="56" t="s">
        <v>1076</v>
      </c>
      <c r="D151" s="56" t="s">
        <v>182</v>
      </c>
      <c r="E151" s="56" t="s">
        <v>829</v>
      </c>
      <c r="F151" s="74">
        <v>15.4</v>
      </c>
      <c r="G151" s="56" t="s">
        <v>112</v>
      </c>
      <c r="H151" s="56">
        <v>320</v>
      </c>
      <c r="I151" s="56" t="s">
        <v>119</v>
      </c>
      <c r="J151" s="76">
        <f t="shared" ref="J151:J215" si="5">F151/H151</f>
        <v>4.8125000000000001E-2</v>
      </c>
    </row>
    <row r="152" spans="2:10" ht="15" thickBot="1" x14ac:dyDescent="0.4">
      <c r="B152" s="59" t="s">
        <v>1077</v>
      </c>
      <c r="C152" s="56" t="s">
        <v>1078</v>
      </c>
      <c r="D152" s="56" t="s">
        <v>1079</v>
      </c>
      <c r="E152" s="56" t="s">
        <v>1080</v>
      </c>
      <c r="F152" s="74">
        <v>86.1</v>
      </c>
      <c r="G152" s="56" t="s">
        <v>112</v>
      </c>
      <c r="H152" s="56">
        <v>400</v>
      </c>
      <c r="I152" s="56" t="s">
        <v>119</v>
      </c>
      <c r="J152" s="76">
        <f t="shared" si="5"/>
        <v>0.21525</v>
      </c>
    </row>
    <row r="153" spans="2:10" ht="15" thickBot="1" x14ac:dyDescent="0.4">
      <c r="B153" s="59" t="s">
        <v>1081</v>
      </c>
      <c r="C153" s="56" t="s">
        <v>1082</v>
      </c>
      <c r="D153" s="56" t="s">
        <v>841</v>
      </c>
      <c r="E153" s="56" t="s">
        <v>528</v>
      </c>
      <c r="F153" s="74">
        <v>34.99</v>
      </c>
      <c r="G153" s="56" t="s">
        <v>112</v>
      </c>
      <c r="H153" s="56"/>
      <c r="I153" s="56"/>
      <c r="J153" s="98" t="e">
        <f>F153/H153</f>
        <v>#DIV/0!</v>
      </c>
    </row>
    <row r="154" spans="2:10" ht="15" thickBot="1" x14ac:dyDescent="0.4">
      <c r="B154" s="59" t="s">
        <v>1077</v>
      </c>
      <c r="C154" s="56" t="s">
        <v>1078</v>
      </c>
      <c r="D154" s="56" t="s">
        <v>1079</v>
      </c>
      <c r="E154" s="56" t="s">
        <v>1080</v>
      </c>
      <c r="F154" s="74">
        <v>86.1</v>
      </c>
      <c r="G154" s="56" t="s">
        <v>112</v>
      </c>
      <c r="H154" s="56">
        <v>400</v>
      </c>
      <c r="I154" s="56" t="s">
        <v>119</v>
      </c>
      <c r="J154" s="76">
        <f t="shared" si="5"/>
        <v>0.21525</v>
      </c>
    </row>
    <row r="155" spans="2:10" ht="15" thickBot="1" x14ac:dyDescent="0.4">
      <c r="B155" s="59" t="s">
        <v>1077</v>
      </c>
      <c r="C155" s="56" t="s">
        <v>1083</v>
      </c>
      <c r="D155" s="56" t="s">
        <v>1084</v>
      </c>
      <c r="E155" s="56" t="s">
        <v>1085</v>
      </c>
      <c r="F155" s="74">
        <v>53.4</v>
      </c>
      <c r="G155" s="56" t="s">
        <v>112</v>
      </c>
      <c r="H155" s="56">
        <v>420</v>
      </c>
      <c r="I155" s="56" t="s">
        <v>119</v>
      </c>
      <c r="J155" s="76">
        <f t="shared" si="5"/>
        <v>0.12714285714285714</v>
      </c>
    </row>
    <row r="156" spans="2:10" ht="15" thickBot="1" x14ac:dyDescent="0.4">
      <c r="B156" s="59" t="s">
        <v>1077</v>
      </c>
      <c r="C156" s="56" t="s">
        <v>1086</v>
      </c>
      <c r="D156" s="56" t="s">
        <v>893</v>
      </c>
      <c r="E156" s="56" t="s">
        <v>274</v>
      </c>
      <c r="F156" s="74">
        <v>54.9</v>
      </c>
      <c r="G156" s="56" t="s">
        <v>112</v>
      </c>
      <c r="H156" s="56">
        <v>192</v>
      </c>
      <c r="I156" s="56" t="s">
        <v>119</v>
      </c>
      <c r="J156" s="76">
        <f t="shared" si="5"/>
        <v>0.28593750000000001</v>
      </c>
    </row>
    <row r="157" spans="2:10" ht="15" thickBot="1" x14ac:dyDescent="0.4">
      <c r="B157" s="59" t="s">
        <v>1077</v>
      </c>
      <c r="C157" s="56" t="s">
        <v>1087</v>
      </c>
      <c r="D157" s="56" t="s">
        <v>1088</v>
      </c>
      <c r="E157" s="56" t="s">
        <v>1089</v>
      </c>
      <c r="F157" s="74">
        <v>86.3</v>
      </c>
      <c r="G157" s="56" t="s">
        <v>112</v>
      </c>
      <c r="H157" s="56">
        <v>422</v>
      </c>
      <c r="I157" s="56" t="s">
        <v>119</v>
      </c>
      <c r="J157" s="76">
        <f t="shared" si="5"/>
        <v>0.20450236966824645</v>
      </c>
    </row>
    <row r="158" spans="2:10" ht="15" thickBot="1" x14ac:dyDescent="0.4">
      <c r="B158" s="62" t="s">
        <v>1077</v>
      </c>
      <c r="C158" s="63" t="s">
        <v>1090</v>
      </c>
      <c r="D158" s="63" t="s">
        <v>1091</v>
      </c>
      <c r="E158" s="63" t="s">
        <v>1092</v>
      </c>
      <c r="F158" s="78">
        <v>163</v>
      </c>
      <c r="G158" s="63" t="s">
        <v>112</v>
      </c>
      <c r="H158" s="63">
        <v>800</v>
      </c>
      <c r="I158" s="63" t="s">
        <v>119</v>
      </c>
      <c r="J158" s="76">
        <f t="shared" si="5"/>
        <v>0.20374999999999999</v>
      </c>
    </row>
    <row r="159" spans="2:10" ht="15" thickBot="1" x14ac:dyDescent="0.4">
      <c r="B159" s="57" t="s">
        <v>1093</v>
      </c>
      <c r="C159" s="58" t="s">
        <v>1094</v>
      </c>
      <c r="D159" s="58" t="s">
        <v>893</v>
      </c>
      <c r="E159" s="58" t="s">
        <v>1095</v>
      </c>
      <c r="F159" s="73">
        <v>68.95</v>
      </c>
      <c r="G159" s="58" t="s">
        <v>112</v>
      </c>
      <c r="H159" s="58">
        <v>528</v>
      </c>
      <c r="I159" s="58" t="s">
        <v>119</v>
      </c>
      <c r="J159" s="76">
        <f t="shared" si="5"/>
        <v>0.13058712121212121</v>
      </c>
    </row>
    <row r="160" spans="2:10" ht="15" thickBot="1" x14ac:dyDescent="0.4">
      <c r="B160" s="59" t="s">
        <v>1093</v>
      </c>
      <c r="C160" s="56" t="s">
        <v>1096</v>
      </c>
      <c r="D160" s="56" t="s">
        <v>1097</v>
      </c>
      <c r="E160" s="56" t="s">
        <v>197</v>
      </c>
      <c r="F160" s="74">
        <v>41</v>
      </c>
      <c r="G160" s="56" t="s">
        <v>112</v>
      </c>
      <c r="H160" s="56">
        <v>160</v>
      </c>
      <c r="I160" s="56" t="s">
        <v>119</v>
      </c>
      <c r="J160" s="76">
        <f t="shared" si="5"/>
        <v>0.25624999999999998</v>
      </c>
    </row>
    <row r="161" spans="2:10" ht="15" thickBot="1" x14ac:dyDescent="0.4">
      <c r="B161" s="59" t="s">
        <v>1093</v>
      </c>
      <c r="C161" s="56" t="s">
        <v>1098</v>
      </c>
      <c r="D161" s="56" t="s">
        <v>893</v>
      </c>
      <c r="E161" s="56" t="s">
        <v>197</v>
      </c>
      <c r="F161" s="74">
        <v>16.100000000000001</v>
      </c>
      <c r="G161" s="56" t="s">
        <v>112</v>
      </c>
      <c r="H161" s="56">
        <v>160</v>
      </c>
      <c r="I161" s="56" t="s">
        <v>119</v>
      </c>
      <c r="J161" s="76">
        <f t="shared" si="5"/>
        <v>0.10062500000000001</v>
      </c>
    </row>
    <row r="162" spans="2:10" ht="15" thickBot="1" x14ac:dyDescent="0.4">
      <c r="B162" s="59" t="s">
        <v>1093</v>
      </c>
      <c r="C162" s="56" t="s">
        <v>1099</v>
      </c>
      <c r="D162" s="56" t="s">
        <v>1100</v>
      </c>
      <c r="E162" s="56" t="s">
        <v>842</v>
      </c>
      <c r="F162" s="74">
        <v>58.4</v>
      </c>
      <c r="G162" s="56" t="s">
        <v>112</v>
      </c>
      <c r="H162" s="56">
        <v>352</v>
      </c>
      <c r="I162" s="56" t="s">
        <v>119</v>
      </c>
      <c r="J162" s="76">
        <f t="shared" si="5"/>
        <v>0.16590909090909089</v>
      </c>
    </row>
    <row r="163" spans="2:10" ht="15" thickBot="1" x14ac:dyDescent="0.4">
      <c r="B163" s="59" t="s">
        <v>1093</v>
      </c>
      <c r="C163" s="56" t="s">
        <v>1101</v>
      </c>
      <c r="D163" s="56" t="s">
        <v>437</v>
      </c>
      <c r="E163" s="56" t="s">
        <v>280</v>
      </c>
      <c r="F163" s="74">
        <v>17.7</v>
      </c>
      <c r="G163" s="56" t="s">
        <v>112</v>
      </c>
      <c r="H163" s="56">
        <v>400</v>
      </c>
      <c r="I163" s="56" t="s">
        <v>119</v>
      </c>
      <c r="J163" s="76">
        <f t="shared" si="5"/>
        <v>4.4249999999999998E-2</v>
      </c>
    </row>
    <row r="164" spans="2:10" ht="15" thickBot="1" x14ac:dyDescent="0.4">
      <c r="B164" s="59" t="s">
        <v>1093</v>
      </c>
      <c r="C164" s="56" t="s">
        <v>1102</v>
      </c>
      <c r="D164" s="56" t="s">
        <v>1103</v>
      </c>
      <c r="E164" s="56" t="s">
        <v>280</v>
      </c>
      <c r="F164" s="74">
        <v>27.9</v>
      </c>
      <c r="G164" s="56" t="s">
        <v>112</v>
      </c>
      <c r="H164" s="56">
        <v>400</v>
      </c>
      <c r="I164" s="56" t="s">
        <v>119</v>
      </c>
      <c r="J164" s="76">
        <f t="shared" si="5"/>
        <v>6.9749999999999993E-2</v>
      </c>
    </row>
    <row r="165" spans="2:10" ht="15" thickBot="1" x14ac:dyDescent="0.4">
      <c r="B165" s="59" t="s">
        <v>1093</v>
      </c>
      <c r="C165" s="56" t="s">
        <v>1104</v>
      </c>
      <c r="D165" s="56" t="s">
        <v>437</v>
      </c>
      <c r="E165" s="56" t="s">
        <v>795</v>
      </c>
      <c r="F165" s="74">
        <v>35.24</v>
      </c>
      <c r="G165" s="56" t="s">
        <v>112</v>
      </c>
      <c r="H165" s="56">
        <v>800</v>
      </c>
      <c r="I165" s="56" t="s">
        <v>119</v>
      </c>
      <c r="J165" s="76">
        <f t="shared" si="5"/>
        <v>4.4050000000000006E-2</v>
      </c>
    </row>
    <row r="166" spans="2:10" ht="15" thickBot="1" x14ac:dyDescent="0.4">
      <c r="B166" s="59" t="s">
        <v>1093</v>
      </c>
      <c r="C166" s="56" t="s">
        <v>1105</v>
      </c>
      <c r="D166" s="56" t="s">
        <v>251</v>
      </c>
      <c r="E166" s="56" t="s">
        <v>962</v>
      </c>
      <c r="F166" s="74">
        <v>28.9</v>
      </c>
      <c r="G166" s="56" t="s">
        <v>112</v>
      </c>
      <c r="H166" s="56">
        <v>800</v>
      </c>
      <c r="I166" s="56" t="s">
        <v>119</v>
      </c>
      <c r="J166" s="76">
        <f t="shared" si="5"/>
        <v>3.6124999999999997E-2</v>
      </c>
    </row>
    <row r="167" spans="2:10" ht="15" thickBot="1" x14ac:dyDescent="0.4">
      <c r="B167" s="59" t="s">
        <v>1093</v>
      </c>
      <c r="C167" s="56" t="s">
        <v>1106</v>
      </c>
      <c r="D167" s="56" t="s">
        <v>893</v>
      </c>
      <c r="E167" s="56" t="s">
        <v>117</v>
      </c>
      <c r="F167" s="74">
        <v>21.5</v>
      </c>
      <c r="G167" s="56" t="s">
        <v>112</v>
      </c>
      <c r="H167" s="56">
        <v>240</v>
      </c>
      <c r="I167" s="56" t="s">
        <v>119</v>
      </c>
      <c r="J167" s="76">
        <f t="shared" si="5"/>
        <v>8.9583333333333334E-2</v>
      </c>
    </row>
    <row r="168" spans="2:10" ht="15" thickBot="1" x14ac:dyDescent="0.4">
      <c r="B168" s="62" t="s">
        <v>1093</v>
      </c>
      <c r="C168" s="63" t="s">
        <v>1107</v>
      </c>
      <c r="D168" s="63" t="s">
        <v>1108</v>
      </c>
      <c r="E168" s="63" t="s">
        <v>236</v>
      </c>
      <c r="F168" s="78">
        <v>68.3</v>
      </c>
      <c r="G168" s="63" t="s">
        <v>112</v>
      </c>
      <c r="H168" s="63">
        <v>160</v>
      </c>
      <c r="I168" s="63" t="s">
        <v>119</v>
      </c>
      <c r="J168" s="76">
        <f t="shared" si="5"/>
        <v>0.426875</v>
      </c>
    </row>
    <row r="169" spans="2:10" ht="15" thickBot="1" x14ac:dyDescent="0.4">
      <c r="B169" s="57" t="s">
        <v>1109</v>
      </c>
      <c r="C169" s="58" t="s">
        <v>1110</v>
      </c>
      <c r="D169" s="58" t="s">
        <v>1111</v>
      </c>
      <c r="E169" s="58" t="s">
        <v>1112</v>
      </c>
      <c r="F169" s="73">
        <v>47.3</v>
      </c>
      <c r="G169" s="58" t="s">
        <v>112</v>
      </c>
      <c r="H169" s="58">
        <v>384</v>
      </c>
      <c r="I169" s="58" t="s">
        <v>119</v>
      </c>
      <c r="J169" s="76">
        <f t="shared" si="5"/>
        <v>0.12317708333333333</v>
      </c>
    </row>
    <row r="170" spans="2:10" ht="15" thickBot="1" x14ac:dyDescent="0.4">
      <c r="B170" s="59" t="s">
        <v>1109</v>
      </c>
      <c r="C170" s="56" t="s">
        <v>1113</v>
      </c>
      <c r="D170" s="56" t="s">
        <v>1114</v>
      </c>
      <c r="E170" s="56" t="s">
        <v>1115</v>
      </c>
      <c r="F170" s="74">
        <v>20.2</v>
      </c>
      <c r="G170" s="56" t="s">
        <v>112</v>
      </c>
      <c r="H170" s="56">
        <v>384</v>
      </c>
      <c r="I170" s="56" t="s">
        <v>119</v>
      </c>
      <c r="J170" s="76">
        <f t="shared" si="5"/>
        <v>5.2604166666666667E-2</v>
      </c>
    </row>
    <row r="171" spans="2:10" ht="15" thickBot="1" x14ac:dyDescent="0.4">
      <c r="B171" s="59" t="s">
        <v>1109</v>
      </c>
      <c r="C171" s="56" t="s">
        <v>1116</v>
      </c>
      <c r="D171" s="56" t="s">
        <v>1114</v>
      </c>
      <c r="E171" s="56" t="s">
        <v>1115</v>
      </c>
      <c r="F171" s="74">
        <v>34.4</v>
      </c>
      <c r="G171" s="56" t="s">
        <v>112</v>
      </c>
      <c r="H171" s="56">
        <v>384</v>
      </c>
      <c r="I171" s="56" t="s">
        <v>119</v>
      </c>
      <c r="J171" s="76">
        <f t="shared" si="5"/>
        <v>8.9583333333333334E-2</v>
      </c>
    </row>
    <row r="172" spans="2:10" ht="15" thickBot="1" x14ac:dyDescent="0.4">
      <c r="B172" s="59" t="s">
        <v>1109</v>
      </c>
      <c r="C172" s="56" t="s">
        <v>1117</v>
      </c>
      <c r="D172" s="56" t="s">
        <v>1020</v>
      </c>
      <c r="E172" s="56" t="s">
        <v>725</v>
      </c>
      <c r="F172" s="74">
        <v>27.2</v>
      </c>
      <c r="G172" s="56" t="s">
        <v>112</v>
      </c>
      <c r="H172" s="56">
        <v>480</v>
      </c>
      <c r="I172" s="56" t="s">
        <v>119</v>
      </c>
      <c r="J172" s="76">
        <f t="shared" si="5"/>
        <v>5.6666666666666664E-2</v>
      </c>
    </row>
    <row r="173" spans="2:10" ht="15" thickBot="1" x14ac:dyDescent="0.4">
      <c r="B173" s="59" t="s">
        <v>1109</v>
      </c>
      <c r="C173" s="56" t="s">
        <v>78</v>
      </c>
      <c r="D173" s="56" t="s">
        <v>1020</v>
      </c>
      <c r="E173" s="56" t="s">
        <v>261</v>
      </c>
      <c r="F173" s="74">
        <v>24.9</v>
      </c>
      <c r="G173" s="56" t="s">
        <v>112</v>
      </c>
      <c r="H173" s="56">
        <v>512</v>
      </c>
      <c r="I173" s="56" t="s">
        <v>119</v>
      </c>
      <c r="J173" s="76">
        <f t="shared" si="5"/>
        <v>4.8632812499999997E-2</v>
      </c>
    </row>
    <row r="174" spans="2:10" ht="15" thickBot="1" x14ac:dyDescent="0.4">
      <c r="B174" s="59" t="s">
        <v>1109</v>
      </c>
      <c r="C174" s="56" t="s">
        <v>1118</v>
      </c>
      <c r="D174" s="56" t="s">
        <v>893</v>
      </c>
      <c r="E174" s="56" t="s">
        <v>1119</v>
      </c>
      <c r="F174" s="74">
        <v>91.7</v>
      </c>
      <c r="G174" s="56" t="s">
        <v>112</v>
      </c>
      <c r="H174" s="56">
        <v>826</v>
      </c>
      <c r="I174" s="56" t="s">
        <v>119</v>
      </c>
      <c r="J174" s="76">
        <f t="shared" si="5"/>
        <v>0.11101694915254237</v>
      </c>
    </row>
    <row r="175" spans="2:10" ht="15" thickBot="1" x14ac:dyDescent="0.4">
      <c r="B175" s="59" t="s">
        <v>1109</v>
      </c>
      <c r="C175" s="56" t="s">
        <v>1120</v>
      </c>
      <c r="D175" s="56" t="s">
        <v>1121</v>
      </c>
      <c r="E175" s="56" t="s">
        <v>1122</v>
      </c>
      <c r="F175" s="74">
        <v>56.7</v>
      </c>
      <c r="G175" s="56" t="s">
        <v>112</v>
      </c>
      <c r="H175" s="56">
        <v>288</v>
      </c>
      <c r="I175" s="56" t="s">
        <v>119</v>
      </c>
      <c r="J175" s="76">
        <f t="shared" si="5"/>
        <v>0.19687500000000002</v>
      </c>
    </row>
    <row r="176" spans="2:10" ht="15" thickBot="1" x14ac:dyDescent="0.4">
      <c r="B176" s="59" t="s">
        <v>1109</v>
      </c>
      <c r="C176" s="56" t="s">
        <v>1123</v>
      </c>
      <c r="D176" s="56" t="s">
        <v>1114</v>
      </c>
      <c r="E176" s="56" t="s">
        <v>1115</v>
      </c>
      <c r="F176" s="74">
        <v>14.4</v>
      </c>
      <c r="G176" s="56" t="s">
        <v>112</v>
      </c>
      <c r="H176" s="56">
        <v>384</v>
      </c>
      <c r="I176" s="56" t="s">
        <v>119</v>
      </c>
      <c r="J176" s="76">
        <f t="shared" si="5"/>
        <v>3.7499999999999999E-2</v>
      </c>
    </row>
    <row r="177" spans="2:10" ht="15" thickBot="1" x14ac:dyDescent="0.4">
      <c r="B177" s="59" t="s">
        <v>1109</v>
      </c>
      <c r="C177" s="56" t="s">
        <v>1124</v>
      </c>
      <c r="D177" s="56" t="s">
        <v>437</v>
      </c>
      <c r="E177" s="56" t="s">
        <v>261</v>
      </c>
      <c r="F177" s="74">
        <v>17.600000000000001</v>
      </c>
      <c r="G177" s="56" t="s">
        <v>112</v>
      </c>
      <c r="H177" s="56">
        <v>512</v>
      </c>
      <c r="I177" s="56" t="s">
        <v>119</v>
      </c>
      <c r="J177" s="76">
        <f t="shared" si="5"/>
        <v>3.4375000000000003E-2</v>
      </c>
    </row>
    <row r="178" spans="2:10" ht="15" thickBot="1" x14ac:dyDescent="0.4">
      <c r="B178" s="59" t="s">
        <v>1109</v>
      </c>
      <c r="C178" s="56" t="s">
        <v>1125</v>
      </c>
      <c r="D178" s="56" t="s">
        <v>376</v>
      </c>
      <c r="E178" s="56" t="s">
        <v>261</v>
      </c>
      <c r="F178" s="74">
        <v>30.1</v>
      </c>
      <c r="G178" s="56" t="s">
        <v>112</v>
      </c>
      <c r="H178" s="56">
        <v>512</v>
      </c>
      <c r="I178" s="56" t="s">
        <v>119</v>
      </c>
      <c r="J178" s="76">
        <f t="shared" si="5"/>
        <v>5.8789062500000003E-2</v>
      </c>
    </row>
    <row r="179" spans="2:10" ht="15" thickBot="1" x14ac:dyDescent="0.4">
      <c r="B179" s="59" t="s">
        <v>1109</v>
      </c>
      <c r="C179" s="56" t="s">
        <v>1126</v>
      </c>
      <c r="D179" s="56" t="s">
        <v>1127</v>
      </c>
      <c r="E179" s="56" t="s">
        <v>261</v>
      </c>
      <c r="F179" s="74">
        <v>35.9</v>
      </c>
      <c r="G179" s="56" t="s">
        <v>112</v>
      </c>
      <c r="H179" s="56">
        <v>512</v>
      </c>
      <c r="I179" s="56" t="s">
        <v>119</v>
      </c>
      <c r="J179" s="76">
        <f t="shared" si="5"/>
        <v>7.0117187499999997E-2</v>
      </c>
    </row>
    <row r="180" spans="2:10" ht="15" thickBot="1" x14ac:dyDescent="0.4">
      <c r="B180" s="59" t="s">
        <v>1109</v>
      </c>
      <c r="C180" s="56" t="s">
        <v>1128</v>
      </c>
      <c r="D180" s="56" t="s">
        <v>1129</v>
      </c>
      <c r="E180" s="56" t="s">
        <v>1130</v>
      </c>
      <c r="F180" s="74">
        <v>33.1</v>
      </c>
      <c r="G180" s="56" t="s">
        <v>112</v>
      </c>
      <c r="H180" s="56">
        <v>408</v>
      </c>
      <c r="I180" s="56" t="s">
        <v>119</v>
      </c>
      <c r="J180" s="76">
        <f t="shared" si="5"/>
        <v>8.112745098039216E-2</v>
      </c>
    </row>
    <row r="181" spans="2:10" ht="15" thickBot="1" x14ac:dyDescent="0.4">
      <c r="B181" s="59" t="s">
        <v>1109</v>
      </c>
      <c r="C181" s="56" t="s">
        <v>1131</v>
      </c>
      <c r="D181" s="56" t="s">
        <v>1129</v>
      </c>
      <c r="E181" s="56" t="s">
        <v>894</v>
      </c>
      <c r="F181" s="74">
        <v>28</v>
      </c>
      <c r="G181" s="56" t="s">
        <v>112</v>
      </c>
      <c r="H181" s="56">
        <v>336</v>
      </c>
      <c r="I181" s="56" t="s">
        <v>119</v>
      </c>
      <c r="J181" s="76">
        <f t="shared" si="5"/>
        <v>8.3333333333333329E-2</v>
      </c>
    </row>
    <row r="182" spans="2:10" ht="15" thickBot="1" x14ac:dyDescent="0.4">
      <c r="B182" s="59" t="s">
        <v>1109</v>
      </c>
      <c r="C182" s="56" t="s">
        <v>1132</v>
      </c>
      <c r="D182" s="56" t="s">
        <v>1084</v>
      </c>
      <c r="E182" s="56" t="s">
        <v>1133</v>
      </c>
      <c r="F182" s="74">
        <v>27.6</v>
      </c>
      <c r="G182" s="56" t="s">
        <v>112</v>
      </c>
      <c r="H182" s="56">
        <v>384</v>
      </c>
      <c r="I182" s="56" t="s">
        <v>119</v>
      </c>
      <c r="J182" s="76">
        <f t="shared" si="5"/>
        <v>7.1875000000000008E-2</v>
      </c>
    </row>
    <row r="183" spans="2:10" ht="15" thickBot="1" x14ac:dyDescent="0.4">
      <c r="B183" s="59" t="s">
        <v>1109</v>
      </c>
      <c r="C183" s="56" t="s">
        <v>1134</v>
      </c>
      <c r="D183" s="56" t="s">
        <v>1135</v>
      </c>
      <c r="E183" s="56" t="s">
        <v>1136</v>
      </c>
      <c r="F183" s="74">
        <v>25.8</v>
      </c>
      <c r="G183" s="56" t="s">
        <v>112</v>
      </c>
      <c r="H183" s="56">
        <v>300</v>
      </c>
      <c r="I183" s="56" t="s">
        <v>119</v>
      </c>
      <c r="J183" s="76">
        <f t="shared" si="5"/>
        <v>8.6000000000000007E-2</v>
      </c>
    </row>
    <row r="184" spans="2:10" ht="15" thickBot="1" x14ac:dyDescent="0.4">
      <c r="B184" s="59" t="s">
        <v>1109</v>
      </c>
      <c r="C184" s="56" t="s">
        <v>1137</v>
      </c>
      <c r="D184" s="56" t="s">
        <v>1138</v>
      </c>
      <c r="E184" s="56" t="s">
        <v>220</v>
      </c>
      <c r="F184" s="74">
        <v>33.9</v>
      </c>
      <c r="G184" s="56" t="s">
        <v>112</v>
      </c>
      <c r="H184" s="56">
        <v>480</v>
      </c>
      <c r="I184" s="56" t="s">
        <v>119</v>
      </c>
      <c r="J184" s="76">
        <f t="shared" si="5"/>
        <v>7.0624999999999993E-2</v>
      </c>
    </row>
    <row r="185" spans="2:10" ht="15" thickBot="1" x14ac:dyDescent="0.4">
      <c r="B185" s="59" t="s">
        <v>1109</v>
      </c>
      <c r="C185" s="56" t="s">
        <v>1139</v>
      </c>
      <c r="D185" s="56" t="s">
        <v>1140</v>
      </c>
      <c r="E185" s="56" t="s">
        <v>1141</v>
      </c>
      <c r="F185" s="74">
        <v>46.3</v>
      </c>
      <c r="G185" s="56" t="s">
        <v>112</v>
      </c>
      <c r="H185" s="56">
        <v>144</v>
      </c>
      <c r="I185" s="56" t="s">
        <v>119</v>
      </c>
      <c r="J185" s="76">
        <f t="shared" si="5"/>
        <v>0.32152777777777775</v>
      </c>
    </row>
    <row r="186" spans="2:10" ht="15" thickBot="1" x14ac:dyDescent="0.4">
      <c r="B186" s="59" t="s">
        <v>1109</v>
      </c>
      <c r="C186" s="56" t="s">
        <v>1139</v>
      </c>
      <c r="D186" s="56" t="s">
        <v>1142</v>
      </c>
      <c r="E186" s="56" t="s">
        <v>1141</v>
      </c>
      <c r="F186" s="74">
        <v>68.900000000000006</v>
      </c>
      <c r="G186" s="56" t="s">
        <v>112</v>
      </c>
      <c r="H186" s="56">
        <v>144</v>
      </c>
      <c r="I186" s="56" t="s">
        <v>119</v>
      </c>
      <c r="J186" s="76">
        <f t="shared" si="5"/>
        <v>0.47847222222222224</v>
      </c>
    </row>
    <row r="187" spans="2:10" ht="15" thickBot="1" x14ac:dyDescent="0.4">
      <c r="B187" s="59" t="s">
        <v>1109</v>
      </c>
      <c r="C187" s="56" t="s">
        <v>1143</v>
      </c>
      <c r="D187" s="56" t="s">
        <v>1144</v>
      </c>
      <c r="E187" s="56" t="s">
        <v>261</v>
      </c>
      <c r="F187" s="74">
        <v>37.6</v>
      </c>
      <c r="G187" s="56" t="s">
        <v>112</v>
      </c>
      <c r="H187" s="56">
        <v>512</v>
      </c>
      <c r="I187" s="56" t="s">
        <v>119</v>
      </c>
      <c r="J187" s="76">
        <f t="shared" si="5"/>
        <v>7.3437500000000003E-2</v>
      </c>
    </row>
    <row r="188" spans="2:10" ht="15" thickBot="1" x14ac:dyDescent="0.4">
      <c r="B188" s="59" t="s">
        <v>1109</v>
      </c>
      <c r="C188" s="56" t="s">
        <v>1145</v>
      </c>
      <c r="D188" s="56" t="s">
        <v>1146</v>
      </c>
      <c r="E188" s="56" t="s">
        <v>220</v>
      </c>
      <c r="F188" s="74">
        <v>34.53</v>
      </c>
      <c r="G188" s="56" t="s">
        <v>112</v>
      </c>
      <c r="H188" s="56">
        <v>480</v>
      </c>
      <c r="I188" s="56" t="s">
        <v>119</v>
      </c>
      <c r="J188" s="76">
        <f t="shared" si="5"/>
        <v>7.1937500000000001E-2</v>
      </c>
    </row>
    <row r="189" spans="2:10" ht="15" thickBot="1" x14ac:dyDescent="0.4">
      <c r="B189" s="59" t="s">
        <v>1109</v>
      </c>
      <c r="C189" s="56" t="s">
        <v>1147</v>
      </c>
      <c r="D189" s="56" t="s">
        <v>1148</v>
      </c>
      <c r="E189" s="56" t="s">
        <v>220</v>
      </c>
      <c r="F189" s="74">
        <v>69.3</v>
      </c>
      <c r="G189" s="56" t="s">
        <v>112</v>
      </c>
      <c r="H189" s="56">
        <v>480</v>
      </c>
      <c r="I189" s="56" t="s">
        <v>119</v>
      </c>
      <c r="J189" s="76">
        <f t="shared" si="5"/>
        <v>0.144375</v>
      </c>
    </row>
    <row r="190" spans="2:10" ht="15" thickBot="1" x14ac:dyDescent="0.4">
      <c r="B190" s="59" t="s">
        <v>1109</v>
      </c>
      <c r="C190" s="56" t="s">
        <v>1149</v>
      </c>
      <c r="D190" s="56" t="s">
        <v>953</v>
      </c>
      <c r="E190" s="56" t="s">
        <v>896</v>
      </c>
      <c r="F190" s="74">
        <v>33.9</v>
      </c>
      <c r="G190" s="56" t="s">
        <v>112</v>
      </c>
      <c r="H190" s="56">
        <v>640</v>
      </c>
      <c r="I190" s="56" t="s">
        <v>119</v>
      </c>
      <c r="J190" s="76">
        <f t="shared" si="5"/>
        <v>5.2968749999999995E-2</v>
      </c>
    </row>
    <row r="191" spans="2:10" ht="15" thickBot="1" x14ac:dyDescent="0.4">
      <c r="B191" s="59" t="s">
        <v>1109</v>
      </c>
      <c r="C191" s="56" t="s">
        <v>1150</v>
      </c>
      <c r="D191" s="56" t="s">
        <v>953</v>
      </c>
      <c r="E191" s="56" t="s">
        <v>261</v>
      </c>
      <c r="F191" s="74">
        <v>40.1</v>
      </c>
      <c r="G191" s="56" t="s">
        <v>112</v>
      </c>
      <c r="H191" s="56">
        <v>512</v>
      </c>
      <c r="I191" s="56" t="s">
        <v>119</v>
      </c>
      <c r="J191" s="76">
        <f t="shared" si="5"/>
        <v>7.8320312500000003E-2</v>
      </c>
    </row>
    <row r="192" spans="2:10" ht="15" thickBot="1" x14ac:dyDescent="0.4">
      <c r="B192" s="59" t="s">
        <v>1109</v>
      </c>
      <c r="C192" s="56" t="s">
        <v>1151</v>
      </c>
      <c r="D192" s="56" t="s">
        <v>953</v>
      </c>
      <c r="E192" s="56" t="s">
        <v>265</v>
      </c>
      <c r="F192" s="74">
        <v>57.7</v>
      </c>
      <c r="G192" s="56" t="s">
        <v>112</v>
      </c>
      <c r="H192" s="56">
        <v>384</v>
      </c>
      <c r="I192" s="56" t="s">
        <v>119</v>
      </c>
      <c r="J192" s="76">
        <f t="shared" si="5"/>
        <v>0.15026041666666667</v>
      </c>
    </row>
    <row r="193" spans="2:10" ht="15" thickBot="1" x14ac:dyDescent="0.4">
      <c r="B193" s="59" t="s">
        <v>1109</v>
      </c>
      <c r="C193" s="56" t="s">
        <v>1152</v>
      </c>
      <c r="D193" s="56" t="s">
        <v>1114</v>
      </c>
      <c r="E193" s="56" t="s">
        <v>1153</v>
      </c>
      <c r="F193" s="74">
        <v>34</v>
      </c>
      <c r="G193" s="56" t="s">
        <v>112</v>
      </c>
      <c r="H193" s="56">
        <v>120</v>
      </c>
      <c r="I193" s="56" t="s">
        <v>119</v>
      </c>
      <c r="J193" s="76">
        <f t="shared" si="5"/>
        <v>0.28333333333333333</v>
      </c>
    </row>
    <row r="194" spans="2:10" ht="15" thickBot="1" x14ac:dyDescent="0.4">
      <c r="B194" s="59" t="s">
        <v>1109</v>
      </c>
      <c r="C194" s="56" t="s">
        <v>1154</v>
      </c>
      <c r="D194" s="56" t="s">
        <v>1155</v>
      </c>
      <c r="E194" s="56" t="s">
        <v>1156</v>
      </c>
      <c r="F194" s="74">
        <v>35.9</v>
      </c>
      <c r="G194" s="56" t="s">
        <v>112</v>
      </c>
      <c r="H194" s="56">
        <v>120</v>
      </c>
      <c r="I194" s="56" t="s">
        <v>119</v>
      </c>
      <c r="J194" s="76">
        <f t="shared" si="5"/>
        <v>0.29916666666666664</v>
      </c>
    </row>
    <row r="195" spans="2:10" ht="15" thickBot="1" x14ac:dyDescent="0.4">
      <c r="B195" s="60" t="s">
        <v>1109</v>
      </c>
      <c r="C195" s="61" t="s">
        <v>1157</v>
      </c>
      <c r="D195" s="61" t="s">
        <v>1158</v>
      </c>
      <c r="E195" s="61" t="s">
        <v>1159</v>
      </c>
      <c r="F195" s="75">
        <v>23.47</v>
      </c>
      <c r="G195" s="61" t="s">
        <v>112</v>
      </c>
      <c r="H195" s="61">
        <v>384</v>
      </c>
      <c r="I195" s="61" t="s">
        <v>119</v>
      </c>
      <c r="J195" s="76">
        <f t="shared" si="5"/>
        <v>6.1119791666666666E-2</v>
      </c>
    </row>
    <row r="196" spans="2:10" ht="15" thickBot="1" x14ac:dyDescent="0.4">
      <c r="B196" s="57" t="s">
        <v>1160</v>
      </c>
      <c r="C196" s="58" t="s">
        <v>1161</v>
      </c>
      <c r="D196" s="58" t="s">
        <v>557</v>
      </c>
      <c r="E196" s="58" t="s">
        <v>751</v>
      </c>
      <c r="F196" s="73">
        <v>29</v>
      </c>
      <c r="G196" s="58" t="s">
        <v>112</v>
      </c>
      <c r="H196" s="58">
        <v>80</v>
      </c>
      <c r="I196" s="58" t="s">
        <v>119</v>
      </c>
      <c r="J196" s="76">
        <f t="shared" si="5"/>
        <v>0.36249999999999999</v>
      </c>
    </row>
    <row r="197" spans="2:10" ht="15" thickBot="1" x14ac:dyDescent="0.4">
      <c r="B197" s="62" t="s">
        <v>1160</v>
      </c>
      <c r="C197" s="63" t="s">
        <v>1162</v>
      </c>
      <c r="D197" s="63" t="s">
        <v>1163</v>
      </c>
      <c r="E197" s="63" t="s">
        <v>197</v>
      </c>
      <c r="F197" s="78">
        <v>15.4</v>
      </c>
      <c r="G197" s="63" t="s">
        <v>112</v>
      </c>
      <c r="H197" s="63">
        <v>160</v>
      </c>
      <c r="I197" s="63" t="s">
        <v>119</v>
      </c>
      <c r="J197" s="76">
        <f t="shared" si="5"/>
        <v>9.6250000000000002E-2</v>
      </c>
    </row>
    <row r="198" spans="2:10" ht="15" thickBot="1" x14ac:dyDescent="0.4">
      <c r="B198" s="57" t="s">
        <v>1164</v>
      </c>
      <c r="C198" s="58" t="s">
        <v>1165</v>
      </c>
      <c r="D198" s="58" t="s">
        <v>1166</v>
      </c>
      <c r="E198" s="58" t="s">
        <v>763</v>
      </c>
      <c r="F198" s="73">
        <v>39.74</v>
      </c>
      <c r="G198" s="58" t="s">
        <v>2</v>
      </c>
      <c r="H198" s="58">
        <v>16</v>
      </c>
      <c r="I198" s="58" t="s">
        <v>119</v>
      </c>
      <c r="J198" s="76">
        <f t="shared" si="5"/>
        <v>2.4837500000000001</v>
      </c>
    </row>
    <row r="199" spans="2:10" ht="15" thickBot="1" x14ac:dyDescent="0.4">
      <c r="B199" s="59" t="s">
        <v>1164</v>
      </c>
      <c r="C199" s="56" t="s">
        <v>1078</v>
      </c>
      <c r="D199" s="56" t="s">
        <v>1079</v>
      </c>
      <c r="E199" s="56" t="s">
        <v>1080</v>
      </c>
      <c r="F199" s="74">
        <v>86.1</v>
      </c>
      <c r="G199" s="56" t="s">
        <v>112</v>
      </c>
      <c r="H199" s="56">
        <v>400</v>
      </c>
      <c r="I199" s="56" t="s">
        <v>119</v>
      </c>
      <c r="J199" s="76">
        <f t="shared" si="5"/>
        <v>0.21525</v>
      </c>
    </row>
    <row r="200" spans="2:10" ht="15" thickBot="1" x14ac:dyDescent="0.4">
      <c r="B200" s="59" t="s">
        <v>1164</v>
      </c>
      <c r="C200" s="56" t="s">
        <v>1167</v>
      </c>
      <c r="D200" s="56" t="s">
        <v>1168</v>
      </c>
      <c r="E200" s="56" t="s">
        <v>795</v>
      </c>
      <c r="F200" s="74">
        <v>79.33</v>
      </c>
      <c r="G200" s="56" t="s">
        <v>112</v>
      </c>
      <c r="H200" s="56">
        <v>800</v>
      </c>
      <c r="I200" s="56" t="s">
        <v>119</v>
      </c>
      <c r="J200" s="76">
        <f t="shared" si="5"/>
        <v>9.9162500000000001E-2</v>
      </c>
    </row>
    <row r="201" spans="2:10" ht="15" thickBot="1" x14ac:dyDescent="0.4">
      <c r="B201" s="59" t="s">
        <v>1164</v>
      </c>
      <c r="C201" s="56" t="s">
        <v>1169</v>
      </c>
      <c r="D201" s="56" t="s">
        <v>1170</v>
      </c>
      <c r="E201" s="56" t="s">
        <v>444</v>
      </c>
      <c r="F201" s="74">
        <v>147</v>
      </c>
      <c r="G201" s="56" t="s">
        <v>112</v>
      </c>
      <c r="H201" s="56">
        <v>320</v>
      </c>
      <c r="I201" s="56" t="s">
        <v>119</v>
      </c>
      <c r="J201" s="76">
        <f t="shared" si="5"/>
        <v>0.45937499999999998</v>
      </c>
    </row>
    <row r="202" spans="2:10" ht="15" thickBot="1" x14ac:dyDescent="0.4">
      <c r="B202" s="59" t="s">
        <v>1164</v>
      </c>
      <c r="C202" s="56" t="s">
        <v>1087</v>
      </c>
      <c r="D202" s="56" t="s">
        <v>1088</v>
      </c>
      <c r="E202" s="56" t="s">
        <v>1089</v>
      </c>
      <c r="F202" s="74">
        <v>86.3</v>
      </c>
      <c r="G202" s="56" t="s">
        <v>112</v>
      </c>
      <c r="H202" s="56">
        <v>422</v>
      </c>
      <c r="I202" s="56" t="s">
        <v>119</v>
      </c>
      <c r="J202" s="76">
        <f t="shared" si="5"/>
        <v>0.20450236966824645</v>
      </c>
    </row>
    <row r="203" spans="2:10" ht="15" thickBot="1" x14ac:dyDescent="0.4">
      <c r="B203" s="59" t="s">
        <v>1164</v>
      </c>
      <c r="C203" s="56" t="s">
        <v>1171</v>
      </c>
      <c r="D203" s="56" t="s">
        <v>975</v>
      </c>
      <c r="E203" s="56" t="s">
        <v>1172</v>
      </c>
      <c r="F203" s="74">
        <v>34.9</v>
      </c>
      <c r="G203" s="56" t="s">
        <v>2</v>
      </c>
      <c r="H203" s="56">
        <v>35.200000000000003</v>
      </c>
      <c r="I203" s="56" t="s">
        <v>119</v>
      </c>
      <c r="J203" s="76">
        <f t="shared" si="5"/>
        <v>0.9914772727272726</v>
      </c>
    </row>
    <row r="204" spans="2:10" ht="15" thickBot="1" x14ac:dyDescent="0.4">
      <c r="B204" s="59" t="s">
        <v>1164</v>
      </c>
      <c r="C204" s="56" t="s">
        <v>74</v>
      </c>
      <c r="D204" s="56" t="s">
        <v>1173</v>
      </c>
      <c r="E204" s="56" t="s">
        <v>280</v>
      </c>
      <c r="F204" s="74">
        <v>12.6</v>
      </c>
      <c r="G204" s="56" t="s">
        <v>112</v>
      </c>
      <c r="H204" s="56">
        <v>400</v>
      </c>
      <c r="I204" s="56" t="s">
        <v>119</v>
      </c>
      <c r="J204" s="76">
        <f t="shared" si="5"/>
        <v>3.15E-2</v>
      </c>
    </row>
    <row r="205" spans="2:10" ht="15" thickBot="1" x14ac:dyDescent="0.4">
      <c r="B205" s="59" t="s">
        <v>1164</v>
      </c>
      <c r="C205" s="56" t="s">
        <v>74</v>
      </c>
      <c r="D205" s="56" t="s">
        <v>1173</v>
      </c>
      <c r="E205" s="56" t="s">
        <v>280</v>
      </c>
      <c r="F205" s="74">
        <v>12.6</v>
      </c>
      <c r="G205" s="56" t="s">
        <v>112</v>
      </c>
      <c r="H205" s="56">
        <v>400</v>
      </c>
      <c r="I205" s="56" t="s">
        <v>119</v>
      </c>
      <c r="J205" s="76">
        <f t="shared" si="5"/>
        <v>3.15E-2</v>
      </c>
    </row>
    <row r="206" spans="2:10" ht="15" thickBot="1" x14ac:dyDescent="0.4">
      <c r="B206" s="59" t="s">
        <v>1164</v>
      </c>
      <c r="C206" s="56" t="s">
        <v>1174</v>
      </c>
      <c r="D206" s="56" t="s">
        <v>1175</v>
      </c>
      <c r="E206" s="56" t="s">
        <v>1176</v>
      </c>
      <c r="F206" s="74">
        <v>21.47</v>
      </c>
      <c r="G206" s="56" t="s">
        <v>112</v>
      </c>
      <c r="H206" s="56">
        <v>211</v>
      </c>
      <c r="I206" s="56" t="s">
        <v>119</v>
      </c>
      <c r="J206" s="76">
        <f t="shared" si="5"/>
        <v>0.10175355450236967</v>
      </c>
    </row>
    <row r="207" spans="2:10" ht="15" thickBot="1" x14ac:dyDescent="0.4">
      <c r="B207" s="59" t="s">
        <v>1164</v>
      </c>
      <c r="C207" s="56" t="s">
        <v>1147</v>
      </c>
      <c r="D207" s="56" t="s">
        <v>1148</v>
      </c>
      <c r="E207" s="56" t="s">
        <v>220</v>
      </c>
      <c r="F207" s="74">
        <v>69.3</v>
      </c>
      <c r="G207" s="56" t="s">
        <v>112</v>
      </c>
      <c r="H207" s="56">
        <v>480</v>
      </c>
      <c r="I207" s="56" t="s">
        <v>119</v>
      </c>
      <c r="J207" s="76">
        <f t="shared" si="5"/>
        <v>0.144375</v>
      </c>
    </row>
    <row r="208" spans="2:10" ht="15" thickBot="1" x14ac:dyDescent="0.4">
      <c r="B208" s="59" t="s">
        <v>1164</v>
      </c>
      <c r="C208" s="56" t="s">
        <v>1177</v>
      </c>
      <c r="D208" s="56" t="s">
        <v>437</v>
      </c>
      <c r="E208" s="56" t="s">
        <v>1178</v>
      </c>
      <c r="F208" s="74">
        <v>11.7</v>
      </c>
      <c r="G208" s="56" t="s">
        <v>2</v>
      </c>
      <c r="H208" s="56">
        <v>22</v>
      </c>
      <c r="I208" s="56" t="s">
        <v>119</v>
      </c>
      <c r="J208" s="76">
        <f t="shared" si="5"/>
        <v>0.53181818181818175</v>
      </c>
    </row>
    <row r="209" spans="2:10" ht="15" thickBot="1" x14ac:dyDescent="0.4">
      <c r="B209" s="59" t="s">
        <v>1164</v>
      </c>
      <c r="C209" s="56" t="s">
        <v>1177</v>
      </c>
      <c r="D209" s="56" t="s">
        <v>437</v>
      </c>
      <c r="E209" s="56" t="s">
        <v>1178</v>
      </c>
      <c r="F209" s="74">
        <v>11.7</v>
      </c>
      <c r="G209" s="56" t="s">
        <v>2</v>
      </c>
      <c r="H209" s="56">
        <v>22</v>
      </c>
      <c r="I209" s="56" t="s">
        <v>119</v>
      </c>
      <c r="J209" s="76">
        <f t="shared" si="5"/>
        <v>0.53181818181818175</v>
      </c>
    </row>
    <row r="210" spans="2:10" ht="15" thickBot="1" x14ac:dyDescent="0.4">
      <c r="B210" s="59" t="s">
        <v>1164</v>
      </c>
      <c r="C210" s="56" t="s">
        <v>1179</v>
      </c>
      <c r="D210" s="56" t="s">
        <v>1180</v>
      </c>
      <c r="E210" s="56" t="s">
        <v>1181</v>
      </c>
      <c r="F210" s="74">
        <v>15.93</v>
      </c>
      <c r="G210" s="56" t="s">
        <v>2</v>
      </c>
      <c r="H210" s="56">
        <v>5.5</v>
      </c>
      <c r="I210" s="56" t="s">
        <v>119</v>
      </c>
      <c r="J210" s="76">
        <f t="shared" si="5"/>
        <v>2.8963636363636365</v>
      </c>
    </row>
    <row r="211" spans="2:10" ht="15" thickBot="1" x14ac:dyDescent="0.4">
      <c r="B211" s="59" t="s">
        <v>1164</v>
      </c>
      <c r="C211" s="56" t="s">
        <v>84</v>
      </c>
      <c r="D211" s="56" t="s">
        <v>437</v>
      </c>
      <c r="E211" s="56" t="s">
        <v>1182</v>
      </c>
      <c r="F211" s="74">
        <v>21.7</v>
      </c>
      <c r="G211" s="56" t="s">
        <v>2</v>
      </c>
      <c r="H211" s="56">
        <v>28</v>
      </c>
      <c r="I211" s="56" t="s">
        <v>119</v>
      </c>
      <c r="J211" s="76">
        <f t="shared" si="5"/>
        <v>0.77500000000000002</v>
      </c>
    </row>
    <row r="212" spans="2:10" ht="15" thickBot="1" x14ac:dyDescent="0.4">
      <c r="B212" s="59" t="s">
        <v>1164</v>
      </c>
      <c r="C212" s="56" t="s">
        <v>84</v>
      </c>
      <c r="D212" s="56" t="s">
        <v>437</v>
      </c>
      <c r="E212" s="56" t="s">
        <v>1182</v>
      </c>
      <c r="F212" s="74">
        <v>21.7</v>
      </c>
      <c r="G212" s="56" t="s">
        <v>2</v>
      </c>
      <c r="H212" s="56">
        <v>28</v>
      </c>
      <c r="I212" s="56" t="s">
        <v>119</v>
      </c>
      <c r="J212" s="76">
        <f t="shared" si="5"/>
        <v>0.77500000000000002</v>
      </c>
    </row>
    <row r="213" spans="2:10" ht="15" thickBot="1" x14ac:dyDescent="0.4">
      <c r="B213" s="59" t="s">
        <v>1164</v>
      </c>
      <c r="C213" s="56" t="s">
        <v>1183</v>
      </c>
      <c r="D213" s="56" t="s">
        <v>437</v>
      </c>
      <c r="E213" s="56" t="s">
        <v>1184</v>
      </c>
      <c r="F213" s="74">
        <v>18.5</v>
      </c>
      <c r="G213" s="56" t="s">
        <v>2</v>
      </c>
      <c r="H213" s="56">
        <v>25</v>
      </c>
      <c r="I213" s="56" t="s">
        <v>119</v>
      </c>
      <c r="J213" s="76">
        <f t="shared" si="5"/>
        <v>0.74</v>
      </c>
    </row>
    <row r="214" spans="2:10" ht="15" thickBot="1" x14ac:dyDescent="0.4">
      <c r="B214" s="59" t="s">
        <v>1164</v>
      </c>
      <c r="C214" s="56" t="s">
        <v>1185</v>
      </c>
      <c r="D214" s="56" t="s">
        <v>437</v>
      </c>
      <c r="E214" s="56" t="s">
        <v>1182</v>
      </c>
      <c r="F214" s="74">
        <v>9.4499999999999993</v>
      </c>
      <c r="G214" s="56" t="s">
        <v>2</v>
      </c>
      <c r="H214" s="56">
        <v>28</v>
      </c>
      <c r="I214" s="56" t="s">
        <v>119</v>
      </c>
      <c r="J214" s="76">
        <f t="shared" si="5"/>
        <v>0.33749999999999997</v>
      </c>
    </row>
    <row r="215" spans="2:10" ht="15" thickBot="1" x14ac:dyDescent="0.4">
      <c r="B215" s="59" t="s">
        <v>1164</v>
      </c>
      <c r="C215" s="56" t="s">
        <v>1186</v>
      </c>
      <c r="D215" s="56" t="s">
        <v>437</v>
      </c>
      <c r="E215" s="56" t="s">
        <v>1187</v>
      </c>
      <c r="F215" s="74">
        <v>7.85</v>
      </c>
      <c r="G215" s="56" t="s">
        <v>2</v>
      </c>
      <c r="H215" s="56">
        <v>14</v>
      </c>
      <c r="I215" s="56" t="s">
        <v>119</v>
      </c>
      <c r="J215" s="76">
        <f t="shared" si="5"/>
        <v>0.56071428571428572</v>
      </c>
    </row>
    <row r="216" spans="2:10" ht="15" thickBot="1" x14ac:dyDescent="0.4">
      <c r="B216" s="59" t="s">
        <v>1164</v>
      </c>
      <c r="C216" s="56" t="s">
        <v>1188</v>
      </c>
      <c r="D216" s="56" t="s">
        <v>1189</v>
      </c>
      <c r="E216" s="56" t="s">
        <v>1190</v>
      </c>
      <c r="F216" s="74">
        <v>6.51</v>
      </c>
      <c r="G216" s="56" t="s">
        <v>2</v>
      </c>
      <c r="H216" s="56">
        <v>16</v>
      </c>
      <c r="I216" s="56" t="s">
        <v>119</v>
      </c>
      <c r="J216" s="76">
        <f t="shared" ref="J216:J279" si="6">F216/H216</f>
        <v>0.40687499999999999</v>
      </c>
    </row>
    <row r="217" spans="2:10" ht="15" thickBot="1" x14ac:dyDescent="0.4">
      <c r="B217" s="59" t="s">
        <v>1164</v>
      </c>
      <c r="C217" s="56" t="s">
        <v>1188</v>
      </c>
      <c r="D217" s="56" t="s">
        <v>1189</v>
      </c>
      <c r="E217" s="56" t="s">
        <v>1190</v>
      </c>
      <c r="F217" s="74">
        <v>6.51</v>
      </c>
      <c r="G217" s="56" t="s">
        <v>2</v>
      </c>
      <c r="H217" s="56">
        <v>16</v>
      </c>
      <c r="I217" s="56" t="s">
        <v>119</v>
      </c>
      <c r="J217" s="76">
        <f t="shared" si="6"/>
        <v>0.40687499999999999</v>
      </c>
    </row>
    <row r="218" spans="2:10" ht="15" thickBot="1" x14ac:dyDescent="0.4">
      <c r="B218" s="59" t="s">
        <v>1164</v>
      </c>
      <c r="C218" s="56" t="s">
        <v>1191</v>
      </c>
      <c r="D218" s="56" t="s">
        <v>437</v>
      </c>
      <c r="E218" s="56" t="s">
        <v>1190</v>
      </c>
      <c r="F218" s="74">
        <v>10.66</v>
      </c>
      <c r="G218" s="56" t="s">
        <v>2</v>
      </c>
      <c r="H218" s="56">
        <v>16</v>
      </c>
      <c r="I218" s="56" t="s">
        <v>119</v>
      </c>
      <c r="J218" s="76">
        <f t="shared" si="6"/>
        <v>0.66625000000000001</v>
      </c>
    </row>
    <row r="219" spans="2:10" ht="15" thickBot="1" x14ac:dyDescent="0.4">
      <c r="B219" s="59" t="s">
        <v>1164</v>
      </c>
      <c r="C219" s="56" t="s">
        <v>1192</v>
      </c>
      <c r="D219" s="56" t="s">
        <v>1180</v>
      </c>
      <c r="E219" s="56" t="s">
        <v>1190</v>
      </c>
      <c r="F219" s="74" t="s">
        <v>1193</v>
      </c>
      <c r="G219" s="56" t="s">
        <v>2</v>
      </c>
      <c r="H219" s="56">
        <v>16</v>
      </c>
      <c r="I219" s="56" t="s">
        <v>119</v>
      </c>
      <c r="J219" s="76" t="e">
        <f t="shared" si="6"/>
        <v>#VALUE!</v>
      </c>
    </row>
    <row r="220" spans="2:10" ht="15" thickBot="1" x14ac:dyDescent="0.4">
      <c r="B220" s="59" t="s">
        <v>1164</v>
      </c>
      <c r="C220" s="56" t="s">
        <v>1194</v>
      </c>
      <c r="D220" s="56" t="s">
        <v>975</v>
      </c>
      <c r="E220" s="56" t="s">
        <v>1195</v>
      </c>
      <c r="F220" s="74">
        <v>30.1</v>
      </c>
      <c r="G220" s="56" t="s">
        <v>2</v>
      </c>
      <c r="H220" s="56">
        <v>8</v>
      </c>
      <c r="I220" s="56" t="s">
        <v>119</v>
      </c>
      <c r="J220" s="76">
        <f t="shared" si="6"/>
        <v>3.7625000000000002</v>
      </c>
    </row>
    <row r="221" spans="2:10" ht="15" thickBot="1" x14ac:dyDescent="0.4">
      <c r="B221" s="59" t="s">
        <v>1164</v>
      </c>
      <c r="C221" s="56" t="s">
        <v>1196</v>
      </c>
      <c r="D221" s="56" t="s">
        <v>437</v>
      </c>
      <c r="E221" s="56" t="s">
        <v>1197</v>
      </c>
      <c r="F221" s="74">
        <v>20.399999999999999</v>
      </c>
      <c r="G221" s="56" t="s">
        <v>112</v>
      </c>
      <c r="H221" s="56">
        <v>26</v>
      </c>
      <c r="I221" s="56" t="s">
        <v>119</v>
      </c>
      <c r="J221" s="76">
        <f t="shared" si="6"/>
        <v>0.7846153846153846</v>
      </c>
    </row>
    <row r="222" spans="2:10" ht="15" thickBot="1" x14ac:dyDescent="0.4">
      <c r="B222" s="59" t="s">
        <v>1164</v>
      </c>
      <c r="C222" s="56" t="s">
        <v>1198</v>
      </c>
      <c r="D222" s="56" t="s">
        <v>437</v>
      </c>
      <c r="E222" s="56" t="s">
        <v>1199</v>
      </c>
      <c r="F222" s="74">
        <v>16.100000000000001</v>
      </c>
      <c r="G222" s="56" t="s">
        <v>2</v>
      </c>
      <c r="H222" s="56">
        <v>12</v>
      </c>
      <c r="I222" s="56" t="s">
        <v>119</v>
      </c>
      <c r="J222" s="76">
        <f t="shared" si="6"/>
        <v>1.3416666666666668</v>
      </c>
    </row>
    <row r="223" spans="2:10" ht="15" thickBot="1" x14ac:dyDescent="0.4">
      <c r="B223" s="59" t="s">
        <v>1164</v>
      </c>
      <c r="C223" s="56" t="s">
        <v>1200</v>
      </c>
      <c r="D223" s="56" t="s">
        <v>437</v>
      </c>
      <c r="E223" s="56" t="s">
        <v>1190</v>
      </c>
      <c r="F223" s="74">
        <v>9.17</v>
      </c>
      <c r="G223" s="56" t="s">
        <v>2</v>
      </c>
      <c r="H223" s="56">
        <v>16</v>
      </c>
      <c r="I223" s="56" t="s">
        <v>119</v>
      </c>
      <c r="J223" s="76">
        <f t="shared" si="6"/>
        <v>0.573125</v>
      </c>
    </row>
    <row r="224" spans="2:10" ht="15" thickBot="1" x14ac:dyDescent="0.4">
      <c r="B224" s="59" t="s">
        <v>1164</v>
      </c>
      <c r="C224" s="56" t="s">
        <v>1201</v>
      </c>
      <c r="D224" s="56" t="s">
        <v>1180</v>
      </c>
      <c r="E224" s="56" t="s">
        <v>1202</v>
      </c>
      <c r="F224" s="74">
        <v>48.26</v>
      </c>
      <c r="G224" s="56" t="s">
        <v>2</v>
      </c>
      <c r="H224" s="56">
        <v>15</v>
      </c>
      <c r="I224" s="56" t="s">
        <v>119</v>
      </c>
      <c r="J224" s="76">
        <f t="shared" si="6"/>
        <v>3.2173333333333334</v>
      </c>
    </row>
    <row r="225" spans="2:10" ht="15" thickBot="1" x14ac:dyDescent="0.4">
      <c r="B225" s="59" t="s">
        <v>1164</v>
      </c>
      <c r="C225" s="56" t="s">
        <v>1203</v>
      </c>
      <c r="D225" s="56" t="s">
        <v>437</v>
      </c>
      <c r="E225" s="56" t="s">
        <v>1204</v>
      </c>
      <c r="F225" s="74">
        <v>6.68</v>
      </c>
      <c r="G225" s="56" t="s">
        <v>2</v>
      </c>
      <c r="H225" s="56">
        <v>35</v>
      </c>
      <c r="I225" s="56" t="s">
        <v>119</v>
      </c>
      <c r="J225" s="76">
        <f t="shared" si="6"/>
        <v>0.19085714285714284</v>
      </c>
    </row>
    <row r="226" spans="2:10" ht="15" thickBot="1" x14ac:dyDescent="0.4">
      <c r="B226" s="59" t="s">
        <v>1164</v>
      </c>
      <c r="C226" s="56" t="s">
        <v>1205</v>
      </c>
      <c r="D226" s="56" t="s">
        <v>437</v>
      </c>
      <c r="E226" s="56" t="s">
        <v>1190</v>
      </c>
      <c r="F226" s="74">
        <v>6.98</v>
      </c>
      <c r="G226" s="56" t="s">
        <v>2</v>
      </c>
      <c r="H226" s="56">
        <v>16</v>
      </c>
      <c r="I226" s="56" t="s">
        <v>119</v>
      </c>
      <c r="J226" s="76">
        <f t="shared" si="6"/>
        <v>0.43625000000000003</v>
      </c>
    </row>
    <row r="227" spans="2:10" ht="15" thickBot="1" x14ac:dyDescent="0.4">
      <c r="B227" s="59" t="s">
        <v>1164</v>
      </c>
      <c r="C227" s="56" t="s">
        <v>51</v>
      </c>
      <c r="D227" s="56" t="s">
        <v>437</v>
      </c>
      <c r="E227" s="56" t="s">
        <v>751</v>
      </c>
      <c r="F227" s="74">
        <v>30.6</v>
      </c>
      <c r="G227" s="56" t="s">
        <v>2</v>
      </c>
      <c r="H227" s="56">
        <v>80</v>
      </c>
      <c r="I227" s="56" t="s">
        <v>119</v>
      </c>
      <c r="J227" s="76">
        <f t="shared" si="6"/>
        <v>0.38250000000000001</v>
      </c>
    </row>
    <row r="228" spans="2:10" ht="15" thickBot="1" x14ac:dyDescent="0.4">
      <c r="B228" s="59" t="s">
        <v>1164</v>
      </c>
      <c r="C228" s="56" t="s">
        <v>1206</v>
      </c>
      <c r="D228" s="56" t="s">
        <v>437</v>
      </c>
      <c r="E228" s="56" t="s">
        <v>751</v>
      </c>
      <c r="F228" s="74">
        <v>31</v>
      </c>
      <c r="G228" s="56" t="s">
        <v>2</v>
      </c>
      <c r="H228" s="56">
        <v>80</v>
      </c>
      <c r="I228" s="56" t="s">
        <v>119</v>
      </c>
      <c r="J228" s="76">
        <f t="shared" si="6"/>
        <v>0.38750000000000001</v>
      </c>
    </row>
    <row r="229" spans="2:10" ht="15" thickBot="1" x14ac:dyDescent="0.4">
      <c r="B229" s="59" t="s">
        <v>1164</v>
      </c>
      <c r="C229" s="56" t="s">
        <v>1207</v>
      </c>
      <c r="D229" s="56" t="s">
        <v>437</v>
      </c>
      <c r="E229" s="56" t="s">
        <v>1195</v>
      </c>
      <c r="F229" s="74">
        <v>9.81</v>
      </c>
      <c r="G229" s="56" t="s">
        <v>2</v>
      </c>
      <c r="H229" s="56">
        <v>8</v>
      </c>
      <c r="I229" s="56" t="s">
        <v>119</v>
      </c>
      <c r="J229" s="76">
        <f t="shared" si="6"/>
        <v>1.2262500000000001</v>
      </c>
    </row>
    <row r="230" spans="2:10" ht="15" thickBot="1" x14ac:dyDescent="0.4">
      <c r="B230" s="59" t="s">
        <v>1164</v>
      </c>
      <c r="C230" s="56" t="s">
        <v>1208</v>
      </c>
      <c r="D230" s="56" t="s">
        <v>437</v>
      </c>
      <c r="E230" s="56" t="s">
        <v>1190</v>
      </c>
      <c r="F230" s="74">
        <v>16.579999999999998</v>
      </c>
      <c r="G230" s="56" t="s">
        <v>2</v>
      </c>
      <c r="H230" s="56">
        <v>16</v>
      </c>
      <c r="I230" s="56" t="s">
        <v>119</v>
      </c>
      <c r="J230" s="76">
        <f t="shared" si="6"/>
        <v>1.0362499999999999</v>
      </c>
    </row>
    <row r="231" spans="2:10" ht="15" thickBot="1" x14ac:dyDescent="0.4">
      <c r="B231" s="59" t="s">
        <v>1164</v>
      </c>
      <c r="C231" s="56" t="s">
        <v>1209</v>
      </c>
      <c r="D231" s="56" t="s">
        <v>437</v>
      </c>
      <c r="E231" s="56" t="s">
        <v>1210</v>
      </c>
      <c r="F231" s="74">
        <v>13.6</v>
      </c>
      <c r="G231" s="56" t="s">
        <v>2</v>
      </c>
      <c r="H231" s="56">
        <v>11</v>
      </c>
      <c r="I231" s="56" t="s">
        <v>119</v>
      </c>
      <c r="J231" s="76">
        <f t="shared" si="6"/>
        <v>1.2363636363636363</v>
      </c>
    </row>
    <row r="232" spans="2:10" ht="15" thickBot="1" x14ac:dyDescent="0.4">
      <c r="B232" s="59" t="s">
        <v>1164</v>
      </c>
      <c r="C232" s="56" t="s">
        <v>1211</v>
      </c>
      <c r="D232" s="56" t="s">
        <v>437</v>
      </c>
      <c r="E232" s="56" t="s">
        <v>1187</v>
      </c>
      <c r="F232" s="74">
        <v>7.55</v>
      </c>
      <c r="G232" s="56" t="s">
        <v>2</v>
      </c>
      <c r="H232" s="56">
        <v>14</v>
      </c>
      <c r="I232" s="56" t="s">
        <v>119</v>
      </c>
      <c r="J232" s="76">
        <f t="shared" si="6"/>
        <v>0.53928571428571426</v>
      </c>
    </row>
    <row r="233" spans="2:10" ht="15" thickBot="1" x14ac:dyDescent="0.4">
      <c r="B233" s="59" t="s">
        <v>1164</v>
      </c>
      <c r="C233" s="56" t="s">
        <v>1212</v>
      </c>
      <c r="D233" s="56" t="s">
        <v>1180</v>
      </c>
      <c r="E233" s="56" t="s">
        <v>1210</v>
      </c>
      <c r="F233" s="74">
        <v>8.48</v>
      </c>
      <c r="G233" s="56" t="s">
        <v>2</v>
      </c>
      <c r="H233" s="56">
        <v>11</v>
      </c>
      <c r="I233" s="56" t="s">
        <v>119</v>
      </c>
      <c r="J233" s="76">
        <f t="shared" si="6"/>
        <v>0.77090909090909099</v>
      </c>
    </row>
    <row r="234" spans="2:10" ht="15" thickBot="1" x14ac:dyDescent="0.4">
      <c r="B234" s="59" t="s">
        <v>1164</v>
      </c>
      <c r="C234" s="56" t="s">
        <v>1213</v>
      </c>
      <c r="D234" s="56" t="s">
        <v>437</v>
      </c>
      <c r="E234" s="56" t="s">
        <v>984</v>
      </c>
      <c r="F234" s="74">
        <v>16.8</v>
      </c>
      <c r="G234" s="56" t="s">
        <v>2</v>
      </c>
      <c r="H234" s="56">
        <v>32</v>
      </c>
      <c r="I234" s="56" t="s">
        <v>119</v>
      </c>
      <c r="J234" s="76">
        <f t="shared" si="6"/>
        <v>0.52500000000000002</v>
      </c>
    </row>
    <row r="235" spans="2:10" ht="15" thickBot="1" x14ac:dyDescent="0.4">
      <c r="B235" s="59" t="s">
        <v>1164</v>
      </c>
      <c r="C235" s="56" t="s">
        <v>50</v>
      </c>
      <c r="D235" s="56" t="s">
        <v>437</v>
      </c>
      <c r="E235" s="56" t="s">
        <v>751</v>
      </c>
      <c r="F235" s="74">
        <v>45</v>
      </c>
      <c r="G235" s="56" t="s">
        <v>2</v>
      </c>
      <c r="H235" s="56">
        <v>80</v>
      </c>
      <c r="I235" s="56" t="s">
        <v>119</v>
      </c>
      <c r="J235" s="76">
        <f t="shared" si="6"/>
        <v>0.5625</v>
      </c>
    </row>
    <row r="236" spans="2:10" ht="15" thickBot="1" x14ac:dyDescent="0.4">
      <c r="B236" s="59" t="s">
        <v>1164</v>
      </c>
      <c r="C236" s="56" t="s">
        <v>1214</v>
      </c>
      <c r="D236" s="56" t="s">
        <v>1180</v>
      </c>
      <c r="E236" s="56" t="s">
        <v>1190</v>
      </c>
      <c r="F236" s="74">
        <v>14.3</v>
      </c>
      <c r="G236" s="56" t="s">
        <v>2</v>
      </c>
      <c r="H236" s="56">
        <v>16</v>
      </c>
      <c r="I236" s="56" t="s">
        <v>119</v>
      </c>
      <c r="J236" s="76">
        <f t="shared" si="6"/>
        <v>0.89375000000000004</v>
      </c>
    </row>
    <row r="237" spans="2:10" ht="15" thickBot="1" x14ac:dyDescent="0.4">
      <c r="B237" s="59" t="s">
        <v>1164</v>
      </c>
      <c r="C237" s="56" t="s">
        <v>1215</v>
      </c>
      <c r="D237" s="56" t="s">
        <v>437</v>
      </c>
      <c r="E237" s="56" t="s">
        <v>1190</v>
      </c>
      <c r="F237" s="74">
        <v>8.67</v>
      </c>
      <c r="G237" s="56" t="s">
        <v>2</v>
      </c>
      <c r="H237" s="56">
        <v>16</v>
      </c>
      <c r="I237" s="56" t="s">
        <v>119</v>
      </c>
      <c r="J237" s="76">
        <f t="shared" si="6"/>
        <v>0.541875</v>
      </c>
    </row>
    <row r="238" spans="2:10" ht="15" thickBot="1" x14ac:dyDescent="0.4">
      <c r="B238" s="59" t="s">
        <v>1164</v>
      </c>
      <c r="C238" s="56" t="s">
        <v>1216</v>
      </c>
      <c r="D238" s="56" t="s">
        <v>437</v>
      </c>
      <c r="E238" s="56" t="s">
        <v>1181</v>
      </c>
      <c r="F238" s="74">
        <v>9.27</v>
      </c>
      <c r="G238" s="56" t="s">
        <v>2</v>
      </c>
      <c r="H238" s="56">
        <v>5.5</v>
      </c>
      <c r="I238" s="56" t="s">
        <v>119</v>
      </c>
      <c r="J238" s="76">
        <f t="shared" si="6"/>
        <v>1.6854545454545453</v>
      </c>
    </row>
    <row r="239" spans="2:10" ht="15" thickBot="1" x14ac:dyDescent="0.4">
      <c r="B239" s="59" t="s">
        <v>1164</v>
      </c>
      <c r="C239" s="56" t="s">
        <v>1217</v>
      </c>
      <c r="D239" s="56" t="s">
        <v>437</v>
      </c>
      <c r="E239" s="56" t="s">
        <v>1187</v>
      </c>
      <c r="F239" s="74">
        <v>8.73</v>
      </c>
      <c r="G239" s="56" t="s">
        <v>2</v>
      </c>
      <c r="H239" s="56">
        <v>14</v>
      </c>
      <c r="I239" s="56" t="s">
        <v>119</v>
      </c>
      <c r="J239" s="76">
        <f t="shared" si="6"/>
        <v>0.62357142857142855</v>
      </c>
    </row>
    <row r="240" spans="2:10" ht="15" thickBot="1" x14ac:dyDescent="0.4">
      <c r="B240" s="59" t="s">
        <v>1164</v>
      </c>
      <c r="C240" s="56" t="s">
        <v>1218</v>
      </c>
      <c r="D240" s="56" t="s">
        <v>437</v>
      </c>
      <c r="E240" s="56" t="s">
        <v>1219</v>
      </c>
      <c r="F240" s="74">
        <v>41.2</v>
      </c>
      <c r="G240" s="56" t="s">
        <v>2</v>
      </c>
      <c r="H240" s="56">
        <v>116</v>
      </c>
      <c r="I240" s="56" t="s">
        <v>119</v>
      </c>
      <c r="J240" s="76">
        <f t="shared" si="6"/>
        <v>0.35517241379310349</v>
      </c>
    </row>
    <row r="241" spans="2:10" ht="15" thickBot="1" x14ac:dyDescent="0.4">
      <c r="B241" s="59" t="s">
        <v>1164</v>
      </c>
      <c r="C241" s="56" t="s">
        <v>1220</v>
      </c>
      <c r="D241" s="56" t="s">
        <v>835</v>
      </c>
      <c r="E241" s="56" t="s">
        <v>836</v>
      </c>
      <c r="F241" s="74">
        <v>15.2</v>
      </c>
      <c r="G241" s="56" t="s">
        <v>2</v>
      </c>
      <c r="H241" s="56">
        <v>23</v>
      </c>
      <c r="I241" s="56" t="s">
        <v>119</v>
      </c>
      <c r="J241" s="76">
        <f t="shared" si="6"/>
        <v>0.66086956521739126</v>
      </c>
    </row>
    <row r="242" spans="2:10" ht="15" thickBot="1" x14ac:dyDescent="0.4">
      <c r="B242" s="59" t="s">
        <v>1164</v>
      </c>
      <c r="C242" s="56" t="s">
        <v>1221</v>
      </c>
      <c r="D242" s="56" t="s">
        <v>437</v>
      </c>
      <c r="E242" s="56" t="s">
        <v>1202</v>
      </c>
      <c r="F242" s="74">
        <v>11.3</v>
      </c>
      <c r="G242" s="56" t="s">
        <v>2</v>
      </c>
      <c r="H242" s="56">
        <v>15</v>
      </c>
      <c r="I242" s="56" t="s">
        <v>119</v>
      </c>
      <c r="J242" s="76">
        <f t="shared" si="6"/>
        <v>0.75333333333333341</v>
      </c>
    </row>
    <row r="243" spans="2:10" ht="15" thickBot="1" x14ac:dyDescent="0.4">
      <c r="B243" s="59" t="s">
        <v>1164</v>
      </c>
      <c r="C243" s="56" t="s">
        <v>1222</v>
      </c>
      <c r="D243" s="56" t="s">
        <v>975</v>
      </c>
      <c r="E243" s="56" t="s">
        <v>1190</v>
      </c>
      <c r="F243" s="74">
        <v>34.4</v>
      </c>
      <c r="G243" s="56" t="s">
        <v>2</v>
      </c>
      <c r="H243" s="56">
        <v>16</v>
      </c>
      <c r="I243" s="56" t="s">
        <v>119</v>
      </c>
      <c r="J243" s="76">
        <f t="shared" si="6"/>
        <v>2.15</v>
      </c>
    </row>
    <row r="244" spans="2:10" ht="15" thickBot="1" x14ac:dyDescent="0.4">
      <c r="B244" s="59" t="s">
        <v>1164</v>
      </c>
      <c r="C244" s="56" t="s">
        <v>1223</v>
      </c>
      <c r="D244" s="56" t="s">
        <v>835</v>
      </c>
      <c r="E244" s="56" t="s">
        <v>836</v>
      </c>
      <c r="F244" s="74">
        <v>3.27</v>
      </c>
      <c r="G244" s="56" t="s">
        <v>2</v>
      </c>
      <c r="H244" s="56">
        <v>17</v>
      </c>
      <c r="I244" s="56" t="s">
        <v>119</v>
      </c>
      <c r="J244" s="76">
        <f t="shared" si="6"/>
        <v>0.19235294117647059</v>
      </c>
    </row>
    <row r="245" spans="2:10" ht="15" thickBot="1" x14ac:dyDescent="0.4">
      <c r="B245" s="59" t="s">
        <v>1164</v>
      </c>
      <c r="C245" s="56" t="s">
        <v>1224</v>
      </c>
      <c r="D245" s="56" t="s">
        <v>437</v>
      </c>
      <c r="E245" s="56" t="s">
        <v>1202</v>
      </c>
      <c r="F245" s="74">
        <v>4.95</v>
      </c>
      <c r="G245" s="56" t="s">
        <v>2</v>
      </c>
      <c r="H245" s="56">
        <v>15</v>
      </c>
      <c r="I245" s="56" t="s">
        <v>119</v>
      </c>
      <c r="J245" s="76">
        <f t="shared" si="6"/>
        <v>0.33</v>
      </c>
    </row>
    <row r="246" spans="2:10" ht="15" thickBot="1" x14ac:dyDescent="0.4">
      <c r="B246" s="59" t="s">
        <v>1164</v>
      </c>
      <c r="C246" s="56" t="s">
        <v>1225</v>
      </c>
      <c r="D246" s="56" t="s">
        <v>1180</v>
      </c>
      <c r="E246" s="56" t="s">
        <v>1226</v>
      </c>
      <c r="F246" s="74">
        <v>7.78</v>
      </c>
      <c r="G246" s="56" t="s">
        <v>2</v>
      </c>
      <c r="H246" s="56">
        <v>23</v>
      </c>
      <c r="I246" s="56" t="s">
        <v>119</v>
      </c>
      <c r="J246" s="76">
        <f t="shared" si="6"/>
        <v>0.33826086956521739</v>
      </c>
    </row>
    <row r="247" spans="2:10" ht="15" thickBot="1" x14ac:dyDescent="0.4">
      <c r="B247" s="59" t="s">
        <v>1164</v>
      </c>
      <c r="C247" s="56" t="s">
        <v>1227</v>
      </c>
      <c r="D247" s="56" t="s">
        <v>437</v>
      </c>
      <c r="E247" s="56" t="s">
        <v>1190</v>
      </c>
      <c r="F247" s="74">
        <v>12.5</v>
      </c>
      <c r="G247" s="56" t="s">
        <v>2</v>
      </c>
      <c r="H247" s="56">
        <v>16</v>
      </c>
      <c r="I247" s="56" t="s">
        <v>119</v>
      </c>
      <c r="J247" s="76">
        <f t="shared" si="6"/>
        <v>0.78125</v>
      </c>
    </row>
    <row r="248" spans="2:10" ht="15" thickBot="1" x14ac:dyDescent="0.4">
      <c r="B248" s="59" t="s">
        <v>1164</v>
      </c>
      <c r="C248" s="56" t="s">
        <v>1228</v>
      </c>
      <c r="D248" s="56" t="s">
        <v>437</v>
      </c>
      <c r="E248" s="56" t="s">
        <v>532</v>
      </c>
      <c r="F248" s="74">
        <v>29.9</v>
      </c>
      <c r="G248" s="56" t="s">
        <v>112</v>
      </c>
      <c r="H248" s="56">
        <v>96</v>
      </c>
      <c r="I248" s="56" t="s">
        <v>119</v>
      </c>
      <c r="J248" s="76">
        <f t="shared" si="6"/>
        <v>0.31145833333333334</v>
      </c>
    </row>
    <row r="249" spans="2:10" ht="15" thickBot="1" x14ac:dyDescent="0.4">
      <c r="B249" s="59" t="s">
        <v>1164</v>
      </c>
      <c r="C249" s="56" t="s">
        <v>1229</v>
      </c>
      <c r="D249" s="56" t="s">
        <v>437</v>
      </c>
      <c r="E249" s="56" t="s">
        <v>1230</v>
      </c>
      <c r="F249" s="74">
        <v>18.8</v>
      </c>
      <c r="G249" s="56" t="s">
        <v>2</v>
      </c>
      <c r="H249" s="56">
        <v>24</v>
      </c>
      <c r="I249" s="56" t="s">
        <v>119</v>
      </c>
      <c r="J249" s="76">
        <f t="shared" si="6"/>
        <v>0.78333333333333333</v>
      </c>
    </row>
    <row r="250" spans="2:10" ht="15" thickBot="1" x14ac:dyDescent="0.4">
      <c r="B250" s="59" t="s">
        <v>1164</v>
      </c>
      <c r="C250" s="56" t="s">
        <v>1231</v>
      </c>
      <c r="D250" s="56" t="s">
        <v>1232</v>
      </c>
      <c r="E250" s="56" t="s">
        <v>1233</v>
      </c>
      <c r="F250" s="74">
        <v>89</v>
      </c>
      <c r="G250" s="56" t="s">
        <v>112</v>
      </c>
      <c r="H250" s="56">
        <v>102</v>
      </c>
      <c r="I250" s="56" t="s">
        <v>119</v>
      </c>
      <c r="J250" s="76">
        <f t="shared" si="6"/>
        <v>0.87254901960784315</v>
      </c>
    </row>
    <row r="251" spans="2:10" ht="15" thickBot="1" x14ac:dyDescent="0.4">
      <c r="B251" s="59" t="s">
        <v>1164</v>
      </c>
      <c r="C251" s="56" t="s">
        <v>1234</v>
      </c>
      <c r="D251" s="56" t="s">
        <v>437</v>
      </c>
      <c r="E251" s="56" t="s">
        <v>751</v>
      </c>
      <c r="F251" s="74">
        <v>38.6</v>
      </c>
      <c r="G251" s="56" t="s">
        <v>2</v>
      </c>
      <c r="H251" s="56">
        <v>80</v>
      </c>
      <c r="I251" s="56" t="s">
        <v>119</v>
      </c>
      <c r="J251" s="76">
        <f t="shared" si="6"/>
        <v>0.48250000000000004</v>
      </c>
    </row>
    <row r="252" spans="2:10" ht="15" thickBot="1" x14ac:dyDescent="0.4">
      <c r="B252" s="59" t="s">
        <v>1164</v>
      </c>
      <c r="C252" s="56" t="s">
        <v>1235</v>
      </c>
      <c r="D252" s="56" t="s">
        <v>437</v>
      </c>
      <c r="E252" s="56" t="s">
        <v>751</v>
      </c>
      <c r="F252" s="74">
        <v>56.2</v>
      </c>
      <c r="G252" s="56" t="s">
        <v>112</v>
      </c>
      <c r="H252" s="56">
        <v>80</v>
      </c>
      <c r="I252" s="56" t="s">
        <v>119</v>
      </c>
      <c r="J252" s="76">
        <f t="shared" si="6"/>
        <v>0.70250000000000001</v>
      </c>
    </row>
    <row r="253" spans="2:10" ht="15" thickBot="1" x14ac:dyDescent="0.4">
      <c r="B253" s="59" t="s">
        <v>1164</v>
      </c>
      <c r="C253" s="56" t="s">
        <v>1236</v>
      </c>
      <c r="D253" s="56" t="s">
        <v>437</v>
      </c>
      <c r="E253" s="56" t="s">
        <v>751</v>
      </c>
      <c r="F253" s="74">
        <v>53.2</v>
      </c>
      <c r="G253" s="56" t="s">
        <v>2</v>
      </c>
      <c r="H253" s="56">
        <v>80</v>
      </c>
      <c r="I253" s="56" t="s">
        <v>119</v>
      </c>
      <c r="J253" s="76">
        <f t="shared" si="6"/>
        <v>0.66500000000000004</v>
      </c>
    </row>
    <row r="254" spans="2:10" ht="15" thickBot="1" x14ac:dyDescent="0.4">
      <c r="B254" s="59" t="s">
        <v>1164</v>
      </c>
      <c r="C254" s="56" t="s">
        <v>49</v>
      </c>
      <c r="D254" s="56" t="s">
        <v>437</v>
      </c>
      <c r="E254" s="56" t="s">
        <v>751</v>
      </c>
      <c r="F254" s="74">
        <v>46.7</v>
      </c>
      <c r="G254" s="56" t="s">
        <v>2</v>
      </c>
      <c r="H254" s="56">
        <v>80</v>
      </c>
      <c r="I254" s="56" t="s">
        <v>119</v>
      </c>
      <c r="J254" s="76">
        <f t="shared" si="6"/>
        <v>0.58374999999999999</v>
      </c>
    </row>
    <row r="255" spans="2:10" ht="15" thickBot="1" x14ac:dyDescent="0.4">
      <c r="B255" s="59" t="s">
        <v>1164</v>
      </c>
      <c r="C255" s="56" t="s">
        <v>1237</v>
      </c>
      <c r="D255" s="56" t="s">
        <v>437</v>
      </c>
      <c r="E255" s="56" t="s">
        <v>1238</v>
      </c>
      <c r="F255" s="74">
        <v>13</v>
      </c>
      <c r="G255" s="56" t="s">
        <v>2</v>
      </c>
      <c r="H255" s="56">
        <v>18</v>
      </c>
      <c r="I255" s="56" t="s">
        <v>119</v>
      </c>
      <c r="J255" s="76">
        <f t="shared" si="6"/>
        <v>0.72222222222222221</v>
      </c>
    </row>
    <row r="256" spans="2:10" ht="15" thickBot="1" x14ac:dyDescent="0.4">
      <c r="B256" s="59" t="s">
        <v>1164</v>
      </c>
      <c r="C256" s="56" t="s">
        <v>1239</v>
      </c>
      <c r="D256" s="56" t="s">
        <v>437</v>
      </c>
      <c r="E256" s="56" t="s">
        <v>1190</v>
      </c>
      <c r="F256" s="74">
        <v>6.45</v>
      </c>
      <c r="G256" s="56" t="s">
        <v>2</v>
      </c>
      <c r="H256" s="56">
        <v>16</v>
      </c>
      <c r="I256" s="56" t="s">
        <v>119</v>
      </c>
      <c r="J256" s="76">
        <f t="shared" si="6"/>
        <v>0.40312500000000001</v>
      </c>
    </row>
    <row r="257" spans="2:10" ht="15" thickBot="1" x14ac:dyDescent="0.4">
      <c r="B257" s="59" t="s">
        <v>1164</v>
      </c>
      <c r="C257" s="56" t="s">
        <v>1240</v>
      </c>
      <c r="D257" s="56" t="s">
        <v>1241</v>
      </c>
      <c r="E257" s="56" t="s">
        <v>1187</v>
      </c>
      <c r="F257" s="74">
        <v>29.8</v>
      </c>
      <c r="G257" s="56" t="s">
        <v>2</v>
      </c>
      <c r="H257" s="56">
        <v>14</v>
      </c>
      <c r="I257" s="56" t="s">
        <v>119</v>
      </c>
      <c r="J257" s="76">
        <f t="shared" si="6"/>
        <v>2.1285714285714286</v>
      </c>
    </row>
    <row r="258" spans="2:10" ht="15" thickBot="1" x14ac:dyDescent="0.4">
      <c r="B258" s="59" t="s">
        <v>1164</v>
      </c>
      <c r="C258" s="56" t="s">
        <v>1242</v>
      </c>
      <c r="D258" s="56" t="s">
        <v>437</v>
      </c>
      <c r="E258" s="56" t="s">
        <v>1243</v>
      </c>
      <c r="F258" s="74">
        <v>29.3</v>
      </c>
      <c r="G258" s="56" t="s">
        <v>2</v>
      </c>
      <c r="H258" s="56">
        <v>60</v>
      </c>
      <c r="I258" s="56" t="s">
        <v>119</v>
      </c>
      <c r="J258" s="76">
        <f t="shared" si="6"/>
        <v>0.48833333333333334</v>
      </c>
    </row>
    <row r="259" spans="2:10" ht="15" thickBot="1" x14ac:dyDescent="0.4">
      <c r="B259" s="59" t="s">
        <v>1164</v>
      </c>
      <c r="C259" s="56" t="s">
        <v>1244</v>
      </c>
      <c r="D259" s="56" t="s">
        <v>437</v>
      </c>
      <c r="E259" s="56" t="s">
        <v>1238</v>
      </c>
      <c r="F259" s="74">
        <v>17.95</v>
      </c>
      <c r="G259" s="56" t="s">
        <v>2</v>
      </c>
      <c r="H259" s="56">
        <v>18</v>
      </c>
      <c r="I259" s="56" t="s">
        <v>119</v>
      </c>
      <c r="J259" s="76">
        <f t="shared" si="6"/>
        <v>0.99722222222222223</v>
      </c>
    </row>
    <row r="260" spans="2:10" ht="15" thickBot="1" x14ac:dyDescent="0.4">
      <c r="B260" s="59" t="s">
        <v>1164</v>
      </c>
      <c r="C260" s="56" t="s">
        <v>1245</v>
      </c>
      <c r="D260" s="56" t="s">
        <v>437</v>
      </c>
      <c r="E260" s="56" t="s">
        <v>1246</v>
      </c>
      <c r="F260" s="74">
        <v>6.97</v>
      </c>
      <c r="G260" s="56" t="s">
        <v>2</v>
      </c>
      <c r="H260" s="56">
        <v>20</v>
      </c>
      <c r="I260" s="56" t="s">
        <v>119</v>
      </c>
      <c r="J260" s="76">
        <f t="shared" si="6"/>
        <v>0.34849999999999998</v>
      </c>
    </row>
    <row r="261" spans="2:10" ht="15" thickBot="1" x14ac:dyDescent="0.4">
      <c r="B261" s="59" t="s">
        <v>1164</v>
      </c>
      <c r="C261" s="56" t="s">
        <v>1247</v>
      </c>
      <c r="D261" s="56" t="s">
        <v>437</v>
      </c>
      <c r="E261" s="56" t="s">
        <v>1248</v>
      </c>
      <c r="F261" s="74">
        <v>6.84</v>
      </c>
      <c r="G261" s="56" t="s">
        <v>2</v>
      </c>
      <c r="H261" s="56">
        <v>6</v>
      </c>
      <c r="I261" s="56" t="s">
        <v>119</v>
      </c>
      <c r="J261" s="76">
        <f t="shared" si="6"/>
        <v>1.1399999999999999</v>
      </c>
    </row>
    <row r="262" spans="2:10" ht="15" thickBot="1" x14ac:dyDescent="0.4">
      <c r="B262" s="59" t="s">
        <v>1164</v>
      </c>
      <c r="C262" s="56" t="s">
        <v>1249</v>
      </c>
      <c r="D262" s="56" t="s">
        <v>437</v>
      </c>
      <c r="E262" s="56" t="s">
        <v>1248</v>
      </c>
      <c r="F262" s="74">
        <v>8.33</v>
      </c>
      <c r="G262" s="56" t="s">
        <v>2</v>
      </c>
      <c r="H262" s="56">
        <v>6</v>
      </c>
      <c r="I262" s="56" t="s">
        <v>119</v>
      </c>
      <c r="J262" s="76">
        <f t="shared" si="6"/>
        <v>1.3883333333333334</v>
      </c>
    </row>
    <row r="263" spans="2:10" ht="15" thickBot="1" x14ac:dyDescent="0.4">
      <c r="B263" s="59" t="s">
        <v>1164</v>
      </c>
      <c r="C263" s="56" t="s">
        <v>1250</v>
      </c>
      <c r="D263" s="56" t="s">
        <v>437</v>
      </c>
      <c r="E263" s="56" t="s">
        <v>1251</v>
      </c>
      <c r="F263" s="74">
        <v>8.85</v>
      </c>
      <c r="G263" s="56" t="s">
        <v>2</v>
      </c>
      <c r="H263" s="56">
        <v>19</v>
      </c>
      <c r="I263" s="56" t="s">
        <v>119</v>
      </c>
      <c r="J263" s="76">
        <f t="shared" si="6"/>
        <v>0.46578947368421053</v>
      </c>
    </row>
    <row r="264" spans="2:10" ht="15" thickBot="1" x14ac:dyDescent="0.4">
      <c r="B264" s="59" t="s">
        <v>1164</v>
      </c>
      <c r="C264" s="56" t="s">
        <v>1252</v>
      </c>
      <c r="D264" s="56" t="s">
        <v>437</v>
      </c>
      <c r="E264" s="56" t="s">
        <v>1238</v>
      </c>
      <c r="F264" s="74">
        <v>5.9</v>
      </c>
      <c r="G264" s="56" t="s">
        <v>2</v>
      </c>
      <c r="H264" s="56">
        <v>18</v>
      </c>
      <c r="I264" s="56" t="s">
        <v>119</v>
      </c>
      <c r="J264" s="76">
        <f t="shared" si="6"/>
        <v>0.32777777777777778</v>
      </c>
    </row>
    <row r="265" spans="2:10" ht="15" thickBot="1" x14ac:dyDescent="0.4">
      <c r="B265" s="59" t="s">
        <v>1164</v>
      </c>
      <c r="C265" s="56" t="s">
        <v>1253</v>
      </c>
      <c r="D265" s="56" t="s">
        <v>1241</v>
      </c>
      <c r="E265" s="56" t="s">
        <v>1238</v>
      </c>
      <c r="F265" s="74">
        <v>26.4</v>
      </c>
      <c r="G265" s="56" t="s">
        <v>2</v>
      </c>
      <c r="H265" s="56">
        <v>18</v>
      </c>
      <c r="I265" s="56" t="s">
        <v>119</v>
      </c>
      <c r="J265" s="76">
        <f t="shared" si="6"/>
        <v>1.4666666666666666</v>
      </c>
    </row>
    <row r="266" spans="2:10" ht="15" thickBot="1" x14ac:dyDescent="0.4">
      <c r="B266" s="59" t="s">
        <v>1164</v>
      </c>
      <c r="C266" s="56" t="s">
        <v>1254</v>
      </c>
      <c r="D266" s="56" t="s">
        <v>437</v>
      </c>
      <c r="E266" s="56" t="s">
        <v>1255</v>
      </c>
      <c r="F266" s="74">
        <v>28.3</v>
      </c>
      <c r="G266" s="56" t="s">
        <v>2</v>
      </c>
      <c r="H266" s="56">
        <v>33</v>
      </c>
      <c r="I266" s="56" t="s">
        <v>119</v>
      </c>
      <c r="J266" s="76">
        <f t="shared" si="6"/>
        <v>0.85757575757575755</v>
      </c>
    </row>
    <row r="267" spans="2:10" ht="15" thickBot="1" x14ac:dyDescent="0.4">
      <c r="B267" s="62" t="s">
        <v>1164</v>
      </c>
      <c r="C267" s="63" t="s">
        <v>1256</v>
      </c>
      <c r="D267" s="63" t="s">
        <v>437</v>
      </c>
      <c r="E267" s="63" t="s">
        <v>1190</v>
      </c>
      <c r="F267" s="78">
        <v>8.6999999999999993</v>
      </c>
      <c r="G267" s="63" t="s">
        <v>2</v>
      </c>
      <c r="H267" s="63">
        <v>16</v>
      </c>
      <c r="I267" s="63" t="s">
        <v>119</v>
      </c>
      <c r="J267" s="76">
        <f t="shared" si="6"/>
        <v>0.54374999999999996</v>
      </c>
    </row>
    <row r="268" spans="2:10" ht="15" thickBot="1" x14ac:dyDescent="0.4">
      <c r="B268" s="57" t="s">
        <v>1257</v>
      </c>
      <c r="C268" s="58" t="s">
        <v>65</v>
      </c>
      <c r="D268" s="58" t="s">
        <v>437</v>
      </c>
      <c r="E268" s="58" t="s">
        <v>220</v>
      </c>
      <c r="F268" s="73">
        <v>92.5</v>
      </c>
      <c r="G268" s="58" t="s">
        <v>112</v>
      </c>
      <c r="H268" s="58">
        <v>480</v>
      </c>
      <c r="I268" s="58" t="s">
        <v>119</v>
      </c>
      <c r="J268" s="76">
        <f t="shared" si="6"/>
        <v>0.19270833333333334</v>
      </c>
    </row>
    <row r="269" spans="2:10" ht="15" thickBot="1" x14ac:dyDescent="0.4">
      <c r="B269" s="59" t="s">
        <v>1257</v>
      </c>
      <c r="C269" s="56" t="s">
        <v>1258</v>
      </c>
      <c r="D269" s="56" t="s">
        <v>1259</v>
      </c>
      <c r="E269" s="56" t="s">
        <v>1260</v>
      </c>
      <c r="F269" s="74">
        <v>51.8</v>
      </c>
      <c r="G269" s="56" t="s">
        <v>112</v>
      </c>
      <c r="H269" s="56">
        <v>512</v>
      </c>
      <c r="I269" s="56" t="s">
        <v>119</v>
      </c>
      <c r="J269" s="76">
        <f t="shared" si="6"/>
        <v>0.10117187499999999</v>
      </c>
    </row>
    <row r="270" spans="2:10" ht="15" thickBot="1" x14ac:dyDescent="0.4">
      <c r="B270" s="59" t="s">
        <v>1257</v>
      </c>
      <c r="C270" s="56" t="s">
        <v>1261</v>
      </c>
      <c r="D270" s="56" t="s">
        <v>1262</v>
      </c>
      <c r="E270" s="56" t="s">
        <v>457</v>
      </c>
      <c r="F270" s="74">
        <v>17.100000000000001</v>
      </c>
      <c r="G270" s="56" t="s">
        <v>112</v>
      </c>
      <c r="H270" s="56">
        <v>384</v>
      </c>
      <c r="I270" s="56" t="s">
        <v>119</v>
      </c>
      <c r="J270" s="76">
        <f t="shared" si="6"/>
        <v>4.4531250000000001E-2</v>
      </c>
    </row>
    <row r="271" spans="2:10" ht="15" thickBot="1" x14ac:dyDescent="0.4">
      <c r="B271" s="59" t="s">
        <v>1257</v>
      </c>
      <c r="C271" s="56" t="s">
        <v>1263</v>
      </c>
      <c r="D271" s="56" t="s">
        <v>1262</v>
      </c>
      <c r="E271" s="56" t="s">
        <v>457</v>
      </c>
      <c r="F271" s="74">
        <v>18.2</v>
      </c>
      <c r="G271" s="56" t="s">
        <v>112</v>
      </c>
      <c r="H271" s="56">
        <v>384</v>
      </c>
      <c r="I271" s="56" t="s">
        <v>119</v>
      </c>
      <c r="J271" s="76">
        <f t="shared" si="6"/>
        <v>4.7395833333333331E-2</v>
      </c>
    </row>
    <row r="272" spans="2:10" ht="15" thickBot="1" x14ac:dyDescent="0.4">
      <c r="B272" s="59" t="s">
        <v>1257</v>
      </c>
      <c r="C272" s="56" t="s">
        <v>1264</v>
      </c>
      <c r="D272" s="56" t="s">
        <v>975</v>
      </c>
      <c r="E272" s="56" t="s">
        <v>1060</v>
      </c>
      <c r="F272" s="74">
        <v>46.3</v>
      </c>
      <c r="G272" s="56" t="s">
        <v>112</v>
      </c>
      <c r="H272" s="56">
        <v>128</v>
      </c>
      <c r="I272" s="56" t="s">
        <v>119</v>
      </c>
      <c r="J272" s="76">
        <f t="shared" si="6"/>
        <v>0.36171874999999998</v>
      </c>
    </row>
    <row r="273" spans="2:10" ht="15" thickBot="1" x14ac:dyDescent="0.4">
      <c r="B273" s="59" t="s">
        <v>1257</v>
      </c>
      <c r="C273" s="56" t="s">
        <v>1265</v>
      </c>
      <c r="D273" s="56" t="s">
        <v>437</v>
      </c>
      <c r="E273" s="56" t="s">
        <v>795</v>
      </c>
      <c r="F273" s="74">
        <v>31.5</v>
      </c>
      <c r="G273" s="56" t="s">
        <v>112</v>
      </c>
      <c r="H273" s="56">
        <v>800</v>
      </c>
      <c r="I273" s="56" t="s">
        <v>119</v>
      </c>
      <c r="J273" s="76">
        <f>F273/H273</f>
        <v>3.9375E-2</v>
      </c>
    </row>
    <row r="274" spans="2:10" ht="15" thickBot="1" x14ac:dyDescent="0.4">
      <c r="B274" s="59" t="s">
        <v>1257</v>
      </c>
      <c r="C274" s="56" t="s">
        <v>1266</v>
      </c>
      <c r="D274" s="56" t="s">
        <v>437</v>
      </c>
      <c r="E274" s="56" t="s">
        <v>261</v>
      </c>
      <c r="F274" s="74">
        <v>44.1</v>
      </c>
      <c r="G274" s="56" t="s">
        <v>112</v>
      </c>
      <c r="H274" s="56">
        <v>512</v>
      </c>
      <c r="I274" s="56" t="s">
        <v>119</v>
      </c>
      <c r="J274" s="76">
        <f t="shared" si="6"/>
        <v>8.6132812500000003E-2</v>
      </c>
    </row>
    <row r="275" spans="2:10" ht="15" thickBot="1" x14ac:dyDescent="0.4">
      <c r="B275" s="59" t="s">
        <v>1257</v>
      </c>
      <c r="C275" s="56" t="s">
        <v>1267</v>
      </c>
      <c r="D275" s="56" t="s">
        <v>1268</v>
      </c>
      <c r="E275" s="56" t="s">
        <v>261</v>
      </c>
      <c r="F275" s="74">
        <v>197</v>
      </c>
      <c r="G275" s="56" t="s">
        <v>112</v>
      </c>
      <c r="H275" s="56">
        <v>512</v>
      </c>
      <c r="I275" s="56" t="s">
        <v>119</v>
      </c>
      <c r="J275" s="76">
        <f t="shared" si="6"/>
        <v>0.384765625</v>
      </c>
    </row>
    <row r="276" spans="2:10" ht="15" thickBot="1" x14ac:dyDescent="0.4">
      <c r="B276" s="60" t="s">
        <v>1257</v>
      </c>
      <c r="C276" s="61" t="s">
        <v>1269</v>
      </c>
      <c r="D276" s="61" t="s">
        <v>1270</v>
      </c>
      <c r="E276" s="61" t="s">
        <v>261</v>
      </c>
      <c r="F276" s="75">
        <v>37.700000000000003</v>
      </c>
      <c r="G276" s="61" t="s">
        <v>112</v>
      </c>
      <c r="H276" s="61">
        <v>512</v>
      </c>
      <c r="I276" s="61" t="s">
        <v>119</v>
      </c>
      <c r="J276" s="76">
        <f t="shared" si="6"/>
        <v>7.3632812500000006E-2</v>
      </c>
    </row>
    <row r="277" spans="2:10" ht="15" thickBot="1" x14ac:dyDescent="0.4">
      <c r="B277" s="57" t="s">
        <v>1271</v>
      </c>
      <c r="C277" s="58" t="s">
        <v>1272</v>
      </c>
      <c r="D277" s="58" t="s">
        <v>557</v>
      </c>
      <c r="E277" s="58" t="s">
        <v>795</v>
      </c>
      <c r="F277" s="73">
        <v>18.100000000000001</v>
      </c>
      <c r="G277" s="58" t="s">
        <v>112</v>
      </c>
      <c r="H277" s="58">
        <v>800</v>
      </c>
      <c r="I277" s="58" t="s">
        <v>119</v>
      </c>
      <c r="J277" s="76">
        <f t="shared" si="6"/>
        <v>2.2625000000000003E-2</v>
      </c>
    </row>
    <row r="278" spans="2:10" ht="15" thickBot="1" x14ac:dyDescent="0.4">
      <c r="B278" s="62" t="s">
        <v>1271</v>
      </c>
      <c r="C278" s="63" t="s">
        <v>1273</v>
      </c>
      <c r="D278" s="63" t="s">
        <v>1274</v>
      </c>
      <c r="E278" s="63" t="s">
        <v>274</v>
      </c>
      <c r="F278" s="78">
        <v>101.65</v>
      </c>
      <c r="G278" s="63" t="s">
        <v>112</v>
      </c>
      <c r="H278" s="63">
        <v>192</v>
      </c>
      <c r="I278" s="63" t="s">
        <v>119</v>
      </c>
      <c r="J278" s="76">
        <f t="shared" si="6"/>
        <v>0.52942708333333333</v>
      </c>
    </row>
    <row r="279" spans="2:10" ht="15" thickBot="1" x14ac:dyDescent="0.4">
      <c r="B279" s="57" t="s">
        <v>1275</v>
      </c>
      <c r="C279" s="58" t="s">
        <v>1276</v>
      </c>
      <c r="D279" s="58" t="s">
        <v>376</v>
      </c>
      <c r="E279" s="58" t="s">
        <v>261</v>
      </c>
      <c r="F279" s="73">
        <v>22.1</v>
      </c>
      <c r="G279" s="58" t="s">
        <v>112</v>
      </c>
      <c r="H279" s="58">
        <v>512</v>
      </c>
      <c r="I279" s="58" t="s">
        <v>119</v>
      </c>
      <c r="J279" s="76">
        <f t="shared" si="6"/>
        <v>4.3164062500000003E-2</v>
      </c>
    </row>
    <row r="280" spans="2:10" ht="15" thickBot="1" x14ac:dyDescent="0.4">
      <c r="B280" s="59" t="s">
        <v>1275</v>
      </c>
      <c r="C280" s="56" t="s">
        <v>1277</v>
      </c>
      <c r="D280" s="56" t="s">
        <v>1278</v>
      </c>
      <c r="E280" s="56" t="s">
        <v>1279</v>
      </c>
      <c r="F280" s="74">
        <v>49.1</v>
      </c>
      <c r="G280" s="56" t="s">
        <v>112</v>
      </c>
      <c r="H280" s="56">
        <v>338</v>
      </c>
      <c r="I280" s="56" t="s">
        <v>119</v>
      </c>
      <c r="J280" s="76">
        <f t="shared" ref="J280:J291" si="7">F280/H280</f>
        <v>0.14526627218934912</v>
      </c>
    </row>
    <row r="281" spans="2:10" ht="15" thickBot="1" x14ac:dyDescent="0.4">
      <c r="B281" s="59" t="s">
        <v>1275</v>
      </c>
      <c r="C281" s="56" t="s">
        <v>1280</v>
      </c>
      <c r="D281" s="56" t="s">
        <v>883</v>
      </c>
      <c r="E281" s="56" t="s">
        <v>1279</v>
      </c>
      <c r="F281" s="74">
        <v>42.4</v>
      </c>
      <c r="G281" s="56" t="s">
        <v>112</v>
      </c>
      <c r="H281" s="56">
        <v>338</v>
      </c>
      <c r="I281" s="56" t="s">
        <v>119</v>
      </c>
      <c r="J281" s="76">
        <f t="shared" si="7"/>
        <v>0.12544378698224851</v>
      </c>
    </row>
    <row r="282" spans="2:10" ht="15" thickBot="1" x14ac:dyDescent="0.4">
      <c r="B282" s="59" t="s">
        <v>1275</v>
      </c>
      <c r="C282" s="56" t="s">
        <v>1281</v>
      </c>
      <c r="D282" s="56" t="s">
        <v>893</v>
      </c>
      <c r="E282" s="56" t="s">
        <v>1279</v>
      </c>
      <c r="F282" s="74">
        <v>32.9</v>
      </c>
      <c r="G282" s="56" t="s">
        <v>112</v>
      </c>
      <c r="H282" s="56">
        <v>338</v>
      </c>
      <c r="I282" s="56" t="s">
        <v>119</v>
      </c>
      <c r="J282" s="76">
        <f t="shared" si="7"/>
        <v>9.733727810650887E-2</v>
      </c>
    </row>
    <row r="283" spans="2:10" ht="15" thickBot="1" x14ac:dyDescent="0.4">
      <c r="B283" s="59" t="s">
        <v>1275</v>
      </c>
      <c r="C283" s="56" t="s">
        <v>1282</v>
      </c>
      <c r="D283" s="56" t="s">
        <v>437</v>
      </c>
      <c r="E283" s="56" t="s">
        <v>261</v>
      </c>
      <c r="F283" s="74">
        <v>16.399999999999999</v>
      </c>
      <c r="G283" s="56" t="s">
        <v>112</v>
      </c>
      <c r="H283" s="56">
        <v>512</v>
      </c>
      <c r="I283" s="56" t="s">
        <v>119</v>
      </c>
      <c r="J283" s="76">
        <f t="shared" si="7"/>
        <v>3.2031249999999997E-2</v>
      </c>
    </row>
    <row r="284" spans="2:10" ht="15" thickBot="1" x14ac:dyDescent="0.4">
      <c r="B284" s="59" t="s">
        <v>1275</v>
      </c>
      <c r="C284" s="56" t="s">
        <v>1283</v>
      </c>
      <c r="D284" s="56" t="s">
        <v>1284</v>
      </c>
      <c r="E284" s="56" t="s">
        <v>261</v>
      </c>
      <c r="F284" s="74">
        <v>33.200000000000003</v>
      </c>
      <c r="G284" s="56" t="s">
        <v>112</v>
      </c>
      <c r="H284" s="56">
        <v>512</v>
      </c>
      <c r="I284" s="56" t="s">
        <v>119</v>
      </c>
      <c r="J284" s="76">
        <f t="shared" si="7"/>
        <v>6.4843750000000006E-2</v>
      </c>
    </row>
    <row r="285" spans="2:10" ht="15" thickBot="1" x14ac:dyDescent="0.4">
      <c r="B285" s="59" t="s">
        <v>1275</v>
      </c>
      <c r="C285" s="56" t="s">
        <v>64</v>
      </c>
      <c r="D285" s="56" t="s">
        <v>1285</v>
      </c>
      <c r="E285" s="56" t="s">
        <v>1286</v>
      </c>
      <c r="F285" s="74">
        <v>43.08</v>
      </c>
      <c r="G285" s="56" t="s">
        <v>112</v>
      </c>
      <c r="H285" s="56">
        <v>201</v>
      </c>
      <c r="I285" s="56" t="s">
        <v>119</v>
      </c>
      <c r="J285" s="76">
        <f t="shared" si="7"/>
        <v>0.21432835820895521</v>
      </c>
    </row>
    <row r="286" spans="2:10" ht="15" thickBot="1" x14ac:dyDescent="0.4">
      <c r="B286" s="59" t="s">
        <v>1275</v>
      </c>
      <c r="C286" s="56" t="s">
        <v>85</v>
      </c>
      <c r="D286" s="56" t="s">
        <v>1287</v>
      </c>
      <c r="E286" s="56" t="s">
        <v>261</v>
      </c>
      <c r="F286" s="74">
        <v>22</v>
      </c>
      <c r="G286" s="56" t="s">
        <v>112</v>
      </c>
      <c r="H286" s="56">
        <v>512</v>
      </c>
      <c r="I286" s="56" t="s">
        <v>119</v>
      </c>
      <c r="J286" s="76">
        <f t="shared" si="7"/>
        <v>4.296875E-2</v>
      </c>
    </row>
    <row r="287" spans="2:10" ht="15" thickBot="1" x14ac:dyDescent="0.4">
      <c r="B287" s="59" t="s">
        <v>1275</v>
      </c>
      <c r="C287" s="56" t="s">
        <v>1288</v>
      </c>
      <c r="D287" s="56" t="s">
        <v>1287</v>
      </c>
      <c r="E287" s="56" t="s">
        <v>261</v>
      </c>
      <c r="F287" s="74">
        <v>20.6</v>
      </c>
      <c r="G287" s="56" t="s">
        <v>112</v>
      </c>
      <c r="H287" s="56">
        <v>512</v>
      </c>
      <c r="I287" s="56" t="s">
        <v>119</v>
      </c>
      <c r="J287" s="76">
        <f t="shared" si="7"/>
        <v>4.0234375000000003E-2</v>
      </c>
    </row>
    <row r="288" spans="2:10" ht="15" thickBot="1" x14ac:dyDescent="0.4">
      <c r="B288" s="62" t="s">
        <v>1275</v>
      </c>
      <c r="C288" s="63" t="s">
        <v>1289</v>
      </c>
      <c r="D288" s="63" t="s">
        <v>557</v>
      </c>
      <c r="E288" s="63" t="s">
        <v>1290</v>
      </c>
      <c r="F288" s="78">
        <v>69.3</v>
      </c>
      <c r="G288" s="63" t="s">
        <v>112</v>
      </c>
      <c r="H288" s="63">
        <v>360</v>
      </c>
      <c r="I288" s="63" t="s">
        <v>119</v>
      </c>
      <c r="J288" s="76">
        <f t="shared" si="7"/>
        <v>0.1925</v>
      </c>
    </row>
    <row r="289" spans="2:10" ht="15" thickBot="1" x14ac:dyDescent="0.4">
      <c r="B289" s="57" t="s">
        <v>1291</v>
      </c>
      <c r="C289" s="58" t="s">
        <v>1292</v>
      </c>
      <c r="D289" s="58" t="s">
        <v>251</v>
      </c>
      <c r="E289" s="58" t="s">
        <v>1293</v>
      </c>
      <c r="F289" s="73">
        <v>8.9600000000000009</v>
      </c>
      <c r="G289" s="58" t="s">
        <v>2</v>
      </c>
      <c r="H289" s="58">
        <v>128</v>
      </c>
      <c r="I289" s="58" t="s">
        <v>119</v>
      </c>
      <c r="J289" s="76">
        <f t="shared" si="7"/>
        <v>7.0000000000000007E-2</v>
      </c>
    </row>
    <row r="290" spans="2:10" ht="15" thickBot="1" x14ac:dyDescent="0.4">
      <c r="B290" s="59" t="s">
        <v>1291</v>
      </c>
      <c r="C290" s="56" t="s">
        <v>1294</v>
      </c>
      <c r="D290" s="56" t="s">
        <v>437</v>
      </c>
      <c r="E290" s="56" t="s">
        <v>261</v>
      </c>
      <c r="F290" s="74">
        <v>34.549999999999997</v>
      </c>
      <c r="G290" s="56" t="s">
        <v>112</v>
      </c>
      <c r="H290" s="56">
        <v>512</v>
      </c>
      <c r="I290" s="56" t="s">
        <v>119</v>
      </c>
      <c r="J290" s="76">
        <f t="shared" si="7"/>
        <v>6.7480468749999994E-2</v>
      </c>
    </row>
    <row r="291" spans="2:10" ht="15" thickBot="1" x14ac:dyDescent="0.4">
      <c r="B291" s="60" t="s">
        <v>1291</v>
      </c>
      <c r="C291" s="61" t="s">
        <v>1295</v>
      </c>
      <c r="D291" s="61" t="s">
        <v>1296</v>
      </c>
      <c r="E291" s="61" t="s">
        <v>261</v>
      </c>
      <c r="F291" s="75">
        <v>38.200000000000003</v>
      </c>
      <c r="G291" s="61" t="s">
        <v>112</v>
      </c>
      <c r="H291" s="61">
        <v>512</v>
      </c>
      <c r="I291" s="61" t="s">
        <v>119</v>
      </c>
      <c r="J291" s="76">
        <f t="shared" si="7"/>
        <v>7.4609375000000006E-2</v>
      </c>
    </row>
    <row r="292" spans="2:10" ht="15" thickBot="1" x14ac:dyDescent="0.4">
      <c r="B292" s="59" t="s">
        <v>500</v>
      </c>
      <c r="C292" s="56" t="s">
        <v>1297</v>
      </c>
      <c r="D292" s="56"/>
      <c r="E292" s="56" t="s">
        <v>795</v>
      </c>
      <c r="F292" s="74">
        <v>0.9</v>
      </c>
      <c r="G292" s="56"/>
      <c r="H292" s="56">
        <v>800</v>
      </c>
      <c r="I292" s="56" t="s">
        <v>119</v>
      </c>
      <c r="J292" s="76">
        <f t="shared" ref="J292:J309" si="8">F292/H292</f>
        <v>1.1250000000000001E-3</v>
      </c>
    </row>
    <row r="293" spans="2:10" ht="15" thickBot="1" x14ac:dyDescent="0.4">
      <c r="B293" s="59" t="s">
        <v>500</v>
      </c>
      <c r="C293" s="56" t="s">
        <v>1298</v>
      </c>
      <c r="D293" s="56"/>
      <c r="E293" s="56"/>
      <c r="F293" s="74">
        <v>4.99</v>
      </c>
      <c r="G293" s="56" t="s">
        <v>184</v>
      </c>
      <c r="H293" s="56">
        <v>16</v>
      </c>
      <c r="I293" s="56" t="s">
        <v>119</v>
      </c>
      <c r="J293" s="76">
        <f t="shared" si="8"/>
        <v>0.31187500000000001</v>
      </c>
    </row>
    <row r="294" spans="2:10" ht="15" thickBot="1" x14ac:dyDescent="0.4">
      <c r="B294" s="59" t="s">
        <v>500</v>
      </c>
      <c r="C294" s="56" t="s">
        <v>1299</v>
      </c>
      <c r="D294" s="56" t="s">
        <v>1300</v>
      </c>
      <c r="E294" s="56" t="s">
        <v>1301</v>
      </c>
      <c r="F294" s="74">
        <v>119</v>
      </c>
      <c r="G294" s="56"/>
      <c r="H294" s="56">
        <f>50*10</f>
        <v>500</v>
      </c>
      <c r="I294" s="56" t="s">
        <v>2</v>
      </c>
      <c r="J294" s="98">
        <f t="shared" si="8"/>
        <v>0.23799999999999999</v>
      </c>
    </row>
    <row r="295" spans="2:10" ht="15" thickBot="1" x14ac:dyDescent="0.4">
      <c r="B295" s="59" t="s">
        <v>500</v>
      </c>
      <c r="C295" s="56" t="s">
        <v>1302</v>
      </c>
      <c r="D295" s="56" t="s">
        <v>1303</v>
      </c>
      <c r="E295" s="56" t="s">
        <v>751</v>
      </c>
      <c r="F295" s="74" t="s">
        <v>213</v>
      </c>
      <c r="G295" s="56"/>
      <c r="H295" s="56">
        <f>5*16</f>
        <v>80</v>
      </c>
      <c r="I295" s="56" t="s">
        <v>119</v>
      </c>
      <c r="J295" s="98" t="e">
        <f t="shared" si="8"/>
        <v>#VALUE!</v>
      </c>
    </row>
    <row r="296" spans="2:10" ht="15" thickBot="1" x14ac:dyDescent="0.4">
      <c r="B296" s="59" t="s">
        <v>500</v>
      </c>
      <c r="C296" s="56" t="s">
        <v>1304</v>
      </c>
      <c r="D296" s="56" t="s">
        <v>1305</v>
      </c>
      <c r="E296" s="56" t="s">
        <v>1306</v>
      </c>
      <c r="F296" s="74">
        <v>18.5</v>
      </c>
      <c r="G296" s="56" t="s">
        <v>112</v>
      </c>
      <c r="H296" s="56">
        <v>200</v>
      </c>
      <c r="I296" s="56" t="s">
        <v>2</v>
      </c>
      <c r="J296" s="76">
        <f t="shared" si="8"/>
        <v>9.2499999999999999E-2</v>
      </c>
    </row>
    <row r="297" spans="2:10" ht="15" thickBot="1" x14ac:dyDescent="0.4">
      <c r="B297" s="59" t="s">
        <v>500</v>
      </c>
      <c r="C297" s="56" t="s">
        <v>1307</v>
      </c>
      <c r="D297" s="56" t="s">
        <v>1308</v>
      </c>
      <c r="E297" s="56" t="s">
        <v>455</v>
      </c>
      <c r="F297" s="74">
        <v>53.08</v>
      </c>
      <c r="G297" s="56" t="s">
        <v>112</v>
      </c>
      <c r="H297" s="56">
        <f>10*2.2*16</f>
        <v>352</v>
      </c>
      <c r="I297" s="56" t="s">
        <v>119</v>
      </c>
      <c r="J297" s="76">
        <f t="shared" si="8"/>
        <v>0.15079545454545454</v>
      </c>
    </row>
    <row r="298" spans="2:10" ht="15" thickBot="1" x14ac:dyDescent="0.4">
      <c r="B298" s="59" t="s">
        <v>500</v>
      </c>
      <c r="C298" s="56" t="s">
        <v>1309</v>
      </c>
      <c r="D298" s="56" t="s">
        <v>251</v>
      </c>
      <c r="E298" s="56" t="s">
        <v>1310</v>
      </c>
      <c r="F298" s="74">
        <v>175.99</v>
      </c>
      <c r="G298" s="56" t="s">
        <v>112</v>
      </c>
      <c r="H298" s="56"/>
      <c r="I298" s="56"/>
      <c r="J298" s="98" t="e">
        <f t="shared" si="8"/>
        <v>#DIV/0!</v>
      </c>
    </row>
    <row r="299" spans="2:10" ht="15" thickBot="1" x14ac:dyDescent="0.4">
      <c r="B299" s="59" t="s">
        <v>500</v>
      </c>
      <c r="C299" s="56" t="s">
        <v>1311</v>
      </c>
      <c r="D299" s="56" t="s">
        <v>557</v>
      </c>
      <c r="E299" s="56" t="s">
        <v>751</v>
      </c>
      <c r="F299" s="74">
        <v>32.36</v>
      </c>
      <c r="G299" s="56" t="s">
        <v>112</v>
      </c>
      <c r="H299" s="56">
        <v>80</v>
      </c>
      <c r="I299" s="56" t="s">
        <v>25</v>
      </c>
      <c r="J299" s="76">
        <f t="shared" si="8"/>
        <v>0.40449999999999997</v>
      </c>
    </row>
    <row r="300" spans="2:10" ht="15" thickBot="1" x14ac:dyDescent="0.4">
      <c r="B300" s="59" t="s">
        <v>500</v>
      </c>
      <c r="C300" s="56" t="s">
        <v>1312</v>
      </c>
      <c r="D300" s="56" t="s">
        <v>251</v>
      </c>
      <c r="E300" s="56" t="s">
        <v>251</v>
      </c>
      <c r="F300" s="74">
        <v>59.99</v>
      </c>
      <c r="G300" s="56" t="s">
        <v>2</v>
      </c>
      <c r="H300" s="56"/>
      <c r="I300" s="56"/>
      <c r="J300" s="98" t="e">
        <f t="shared" si="8"/>
        <v>#DIV/0!</v>
      </c>
    </row>
    <row r="301" spans="2:10" ht="15" thickBot="1" x14ac:dyDescent="0.4">
      <c r="B301" s="59" t="s">
        <v>500</v>
      </c>
      <c r="C301" s="56" t="s">
        <v>1313</v>
      </c>
      <c r="D301" s="56" t="s">
        <v>835</v>
      </c>
      <c r="E301" s="56" t="s">
        <v>528</v>
      </c>
      <c r="F301" s="74">
        <v>21.33</v>
      </c>
      <c r="G301" s="56" t="s">
        <v>112</v>
      </c>
      <c r="H301" s="56"/>
      <c r="I301" s="56"/>
      <c r="J301" s="98" t="e">
        <f t="shared" si="8"/>
        <v>#DIV/0!</v>
      </c>
    </row>
    <row r="302" spans="2:10" ht="15" thickBot="1" x14ac:dyDescent="0.4">
      <c r="B302" s="59" t="s">
        <v>500</v>
      </c>
      <c r="C302" s="56" t="s">
        <v>1314</v>
      </c>
      <c r="D302" s="56" t="s">
        <v>515</v>
      </c>
      <c r="E302" s="56" t="s">
        <v>197</v>
      </c>
      <c r="F302" s="74">
        <v>19.46</v>
      </c>
      <c r="G302" s="56" t="s">
        <v>112</v>
      </c>
      <c r="H302" s="56">
        <v>160</v>
      </c>
      <c r="I302" s="56" t="s">
        <v>119</v>
      </c>
      <c r="J302" s="76">
        <f t="shared" si="8"/>
        <v>0.12162500000000001</v>
      </c>
    </row>
    <row r="303" spans="2:10" ht="15" thickBot="1" x14ac:dyDescent="0.4">
      <c r="B303" s="59" t="s">
        <v>500</v>
      </c>
      <c r="C303" s="56" t="s">
        <v>66</v>
      </c>
      <c r="D303" s="56" t="s">
        <v>1315</v>
      </c>
      <c r="E303" s="56" t="s">
        <v>261</v>
      </c>
      <c r="F303" s="74">
        <v>42.26</v>
      </c>
      <c r="G303" s="56" t="s">
        <v>112</v>
      </c>
      <c r="H303" s="56">
        <v>512</v>
      </c>
      <c r="I303" s="56" t="s">
        <v>119</v>
      </c>
      <c r="J303" s="76">
        <f t="shared" si="8"/>
        <v>8.2539062499999996E-2</v>
      </c>
    </row>
    <row r="304" spans="2:10" ht="15" thickBot="1" x14ac:dyDescent="0.4">
      <c r="B304" s="59" t="s">
        <v>500</v>
      </c>
      <c r="C304" s="56" t="s">
        <v>1316</v>
      </c>
      <c r="D304" s="56" t="s">
        <v>557</v>
      </c>
      <c r="E304" s="56" t="s">
        <v>261</v>
      </c>
      <c r="F304" s="74">
        <v>60.25</v>
      </c>
      <c r="G304" s="56" t="s">
        <v>112</v>
      </c>
      <c r="H304" s="56">
        <v>512</v>
      </c>
      <c r="I304" s="56" t="s">
        <v>119</v>
      </c>
      <c r="J304" s="76">
        <f t="shared" si="8"/>
        <v>0.11767578125</v>
      </c>
    </row>
    <row r="305" spans="2:10" ht="15" thickBot="1" x14ac:dyDescent="0.4">
      <c r="B305" s="59" t="s">
        <v>500</v>
      </c>
      <c r="C305" s="56" t="s">
        <v>1317</v>
      </c>
      <c r="D305" s="56" t="s">
        <v>1318</v>
      </c>
      <c r="E305" s="56" t="s">
        <v>251</v>
      </c>
      <c r="F305" s="74">
        <v>15.99</v>
      </c>
      <c r="G305" s="56" t="s">
        <v>112</v>
      </c>
      <c r="H305" s="56"/>
      <c r="I305" s="56"/>
      <c r="J305" s="98" t="e">
        <f t="shared" si="8"/>
        <v>#DIV/0!</v>
      </c>
    </row>
    <row r="306" spans="2:10" ht="15" thickBot="1" x14ac:dyDescent="0.4">
      <c r="B306" s="59" t="s">
        <v>500</v>
      </c>
      <c r="C306" s="56" t="s">
        <v>1319</v>
      </c>
      <c r="D306" s="56" t="s">
        <v>591</v>
      </c>
      <c r="E306" s="56" t="s">
        <v>1320</v>
      </c>
      <c r="F306" s="74">
        <v>72.989999999999995</v>
      </c>
      <c r="G306" s="56" t="s">
        <v>112</v>
      </c>
      <c r="H306" s="56">
        <v>128</v>
      </c>
      <c r="I306" s="56" t="s">
        <v>119</v>
      </c>
      <c r="J306" s="76">
        <f t="shared" si="8"/>
        <v>0.57023437499999996</v>
      </c>
    </row>
    <row r="307" spans="2:10" ht="15" thickBot="1" x14ac:dyDescent="0.4">
      <c r="B307" s="59" t="s">
        <v>500</v>
      </c>
      <c r="C307" s="56" t="s">
        <v>1321</v>
      </c>
      <c r="D307" s="56" t="s">
        <v>700</v>
      </c>
      <c r="E307" s="56" t="s">
        <v>251</v>
      </c>
      <c r="F307" s="74">
        <v>19.989999999999998</v>
      </c>
      <c r="G307" s="56" t="s">
        <v>2</v>
      </c>
      <c r="H307" s="56"/>
      <c r="I307" s="56"/>
      <c r="J307" s="76" t="e">
        <f t="shared" si="8"/>
        <v>#DIV/0!</v>
      </c>
    </row>
    <row r="308" spans="2:10" ht="15" thickBot="1" x14ac:dyDescent="0.4">
      <c r="B308" s="59" t="s">
        <v>500</v>
      </c>
      <c r="C308" s="56" t="s">
        <v>1322</v>
      </c>
      <c r="D308" s="56" t="s">
        <v>835</v>
      </c>
      <c r="E308" s="56" t="s">
        <v>836</v>
      </c>
      <c r="F308" s="74">
        <v>16.98</v>
      </c>
      <c r="G308" s="56" t="s">
        <v>112</v>
      </c>
      <c r="H308" s="56"/>
      <c r="I308" s="56"/>
      <c r="J308" s="76" t="e">
        <f t="shared" si="8"/>
        <v>#DIV/0!</v>
      </c>
    </row>
    <row r="309" spans="2:10" x14ac:dyDescent="0.35">
      <c r="B309" s="59" t="s">
        <v>500</v>
      </c>
      <c r="C309" s="56" t="s">
        <v>1323</v>
      </c>
      <c r="D309" s="56" t="s">
        <v>114</v>
      </c>
      <c r="E309" s="56" t="s">
        <v>1324</v>
      </c>
      <c r="F309" s="74">
        <v>29.86</v>
      </c>
      <c r="G309" s="56" t="s">
        <v>112</v>
      </c>
      <c r="H309" s="56">
        <v>80</v>
      </c>
      <c r="I309" s="56" t="s">
        <v>119</v>
      </c>
      <c r="J309" s="76">
        <f t="shared" si="8"/>
        <v>0.37324999999999997</v>
      </c>
    </row>
  </sheetData>
  <sortState xmlns:xlrd2="http://schemas.microsoft.com/office/spreadsheetml/2017/richdata2" ref="B2:J291">
    <sortCondition ref="B2:B29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3C18BE2CCDBB49A616D4A155DD71B0" ma:contentTypeVersion="13" ma:contentTypeDescription="Create a new document." ma:contentTypeScope="" ma:versionID="e2f4daa3f4c4fd3844ac130173e2e498">
  <xsd:schema xmlns:xsd="http://www.w3.org/2001/XMLSchema" xmlns:xs="http://www.w3.org/2001/XMLSchema" xmlns:p="http://schemas.microsoft.com/office/2006/metadata/properties" xmlns:ns1="http://schemas.microsoft.com/sharepoint/v3" xmlns:ns2="ae530a84-34be-49f4-9272-10bf5a2079df" xmlns:ns3="9fe26367-342e-4422-a864-cbb79e13e402" targetNamespace="http://schemas.microsoft.com/office/2006/metadata/properties" ma:root="true" ma:fieldsID="53a32dc21da87349d265494e952ecc50" ns1:_="" ns2:_="" ns3:_="">
    <xsd:import namespace="http://schemas.microsoft.com/sharepoint/v3"/>
    <xsd:import namespace="ae530a84-34be-49f4-9272-10bf5a2079df"/>
    <xsd:import namespace="9fe26367-342e-4422-a864-cbb79e13e4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1:PublishingStartDate" minOccurs="0"/>
                <xsd:element ref="ns1:PublishingExpirationDate" minOccurs="0"/>
                <xsd:element ref="ns2:MediaServiceLocation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5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16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30a84-34be-49f4-9272-10bf5a2079d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e26367-342e-4422-a864-cbb79e13e40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E69D10-8299-4514-B5B8-75B3265E7C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e530a84-34be-49f4-9272-10bf5a2079df"/>
    <ds:schemaRef ds:uri="9fe26367-342e-4422-a864-cbb79e13e4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60EBE1-1DEA-45D5-A791-445A674201BD}">
  <ds:schemaRefs>
    <ds:schemaRef ds:uri="http://www.w3.org/XML/1998/namespace"/>
    <ds:schemaRef ds:uri="http://purl.org/dc/dcmitype/"/>
    <ds:schemaRef ds:uri="http://purl.org/dc/terms/"/>
    <ds:schemaRef ds:uri="http://schemas.microsoft.com/office/infopath/2007/PartnerControls"/>
    <ds:schemaRef ds:uri="9fe26367-342e-4422-a864-cbb79e13e402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ae530a84-34be-49f4-9272-10bf5a2079df"/>
    <ds:schemaRef ds:uri="http://schemas.microsoft.com/sharepoint/v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1573F0F-4CE3-4493-B13E-697F85DA916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IngredientMain</vt:lpstr>
      <vt:lpstr>RecipeMain</vt:lpstr>
      <vt:lpstr>Avocado &amp; Corn</vt:lpstr>
      <vt:lpstr>Spanish Bocadillo</vt:lpstr>
      <vt:lpstr>Smokehouse Chicken</vt:lpstr>
      <vt:lpstr>Italian Turkey</vt:lpstr>
      <vt:lpstr>Roast beef sandwich</vt:lpstr>
      <vt:lpstr>Recipe Cost Builder</vt:lpstr>
      <vt:lpstr>Bakery - 50041</vt:lpstr>
      <vt:lpstr>Dairy - 50031</vt:lpstr>
      <vt:lpstr>Frozen - 50061</vt:lpstr>
      <vt:lpstr>Sheet1</vt:lpstr>
      <vt:lpstr>Meat - 50021</vt:lpstr>
      <vt:lpstr>Produce - 50051</vt:lpstr>
      <vt:lpstr>Storeroom - 50011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 Gallivan</dc:creator>
  <cp:keywords/>
  <dc:description/>
  <cp:lastModifiedBy>Crystal Gallivan</cp:lastModifiedBy>
  <cp:revision/>
  <dcterms:created xsi:type="dcterms:W3CDTF">2019-04-03T14:32:31Z</dcterms:created>
  <dcterms:modified xsi:type="dcterms:W3CDTF">2019-09-03T22:20:52Z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horIds_UIVersion_512">
    <vt:lpwstr>1045</vt:lpwstr>
  </property>
  <property fmtid="{D5CDD505-2E9C-101B-9397-08002B2CF9AE}" pid="3" name="ContentTypeId">
    <vt:lpwstr>0x010100263C18BE2CCDBB49A616D4A155DD71B0</vt:lpwstr>
  </property>
  <property fmtid="{D5CDD505-2E9C-101B-9397-08002B2CF9AE}" pid="4" name="AuthorIds_UIVersion_2560">
    <vt:lpwstr>1045</vt:lpwstr>
  </property>
</Properties>
</file>